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Per Recording" sheetId="2" state="visible" r:id="rId4"/>
  </sheets>
  <definedNames>
    <definedName function="false" hidden="true" localSheetId="1" name="_xlnm._FilterDatabase" vbProcedure="false">'Per Recording'!$A$1:$N$331</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G1" authorId="0">
      <text>
        <r>
          <rPr>
            <sz val="10"/>
            <rFont val="Arial"/>
            <family val="2"/>
          </rPr>
          <t xml:space="preserve">Word-level Levenshtein edits after the notebook's normalisation (lowercase, numbers to Swahili words, punctuation removed, spaces collapsed). Computed in Python; matches the notebook.</t>
        </r>
      </text>
    </comment>
    <comment ref="I1" authorId="0">
      <text>
        <r>
          <rPr>
            <sz val="10"/>
            <rFont val="Arial"/>
            <family val="2"/>
          </rPr>
          <t xml:space="preserve">Character-level edits (spaces count as characters, as in jiwer.ReduceToListOfListOfChars). Computed in Python.</t>
        </r>
      </text>
    </comment>
    <comment ref="M1" authorId="0">
      <text>
        <r>
          <rPr>
            <sz val="10"/>
            <rFont val="Arial"/>
            <family val="2"/>
          </rPr>
          <t xml:space="preserve">Transcription time per clip: Whisper models on Frank's Mac (whisper.cpp 1.9.4, 2 threads); omniASR on a Colab A100. Not phone measurements. Blank for the app baseline.</t>
        </r>
      </text>
    </comment>
  </commentList>
</comments>
</file>

<file path=xl/sharedStrings.xml><?xml version="1.0" encoding="utf-8"?>
<sst xmlns="http://schemas.openxmlformats.org/spreadsheetml/2006/main" count="2401" uniqueCount="348">
  <si>
    <t xml:space="preserve">Swahili ASR model comparison — 30 office-testing recordings (Sep 17–21, 2026), Whisper models run locally</t>
  </si>
  <si>
    <t xml:space="preserve">WER/CER = total edits ÷ total reference words/characters across the recordings (same method as CER_WER_calculation.ipynb). Lower is better.</t>
  </si>
  <si>
    <t xml:space="preserve">Model</t>
  </si>
  <si>
    <t xml:space="preserve">Hugging Face model</t>
  </si>
  <si>
    <t xml:space="preserve">Run on</t>
  </si>
  <si>
    <t xml:space="preserve">Recordings</t>
  </si>
  <si>
    <t xml:space="preserve">WER</t>
  </si>
  <si>
    <t xml:space="preserve">CER</t>
  </si>
  <si>
    <t xml:space="preserve">2026-09-17 (Victor) WER</t>
  </si>
  <si>
    <t xml:space="preserve">2026-09-17 (Victor) CER</t>
  </si>
  <si>
    <t xml:space="preserve">2026-09-21 PM (Susan) WER</t>
  </si>
  <si>
    <t xml:space="preserve">2026-09-21 PM (Susan) CER</t>
  </si>
  <si>
    <t xml:space="preserve">2026-09-21 AM (Ednah) WER</t>
  </si>
  <si>
    <t xml:space="preserve">2026-09-21 AM (Ednah) CER</t>
  </si>
  <si>
    <t xml:space="preserve">Avg seconds / clip</t>
  </si>
  <si>
    <t xml:space="preserve">Build #70 app (phone)</t>
  </si>
  <si>
    <t xml:space="preserve">ggerganov/whisper.cpp ggml-small-q5_1 (generic multilingual)</t>
  </si>
  <si>
    <t xml:space="preserve">Survey2026 app on phone, build #70 7192ca2</t>
  </si>
  <si>
    <t xml:space="preserve">OpenAI-generic-small-5bit</t>
  </si>
  <si>
    <t xml:space="preserve">whisper.cpp 1.9.4 (Homebrew), Mac, 2 threads</t>
  </si>
  <si>
    <t xml:space="preserve">lingua-connect</t>
  </si>
  <si>
    <t xml:space="preserve">Lingua-Connect/whisper-small-sw-normal</t>
  </si>
  <si>
    <t xml:space="preserve">cdli-cv20</t>
  </si>
  <si>
    <t xml:space="preserve">cdli/whisper-small-Swahili_finetuned_small_CV20</t>
  </si>
  <si>
    <t xml:space="preserve">cdli-kenyan-nonstandard</t>
  </si>
  <si>
    <t xml:space="preserve">cdli/whisper-small_finetuned_kenyan_swahili_nonstandard_speech_v1.0</t>
  </si>
  <si>
    <t xml:space="preserve">dmusingu-cv14</t>
  </si>
  <si>
    <t xml:space="preserve">dmusingu/WHISPER-SMALL-SWAHILI-ASR-CV-14</t>
  </si>
  <si>
    <t xml:space="preserve">omniASR_LLM_7B</t>
  </si>
  <si>
    <t xml:space="preserve">facebook/omniASR-LLM-7B (Meta Omnilingual ASR), ~7.8B params</t>
  </si>
  <si>
    <t xml:space="preserve">omnilingual-asr, Colab A100, bf16</t>
  </si>
  <si>
    <t xml:space="preserve">omniASR_LLM_300M</t>
  </si>
  <si>
    <t xml:space="preserve">facebook/omniASR-LLM-300M, 1.6B params (300M encoder + LLM decoder)</t>
  </si>
  <si>
    <t xml:space="preserve">omniASR_LLM_300M_v2</t>
  </si>
  <si>
    <t xml:space="preserve">facebook/omniASR-LLM-300M-v2, 1.6B params (300M encoder + LLM decoder)</t>
  </si>
  <si>
    <t xml:space="preserve">omniASR_CTC_300M</t>
  </si>
  <si>
    <t xml:space="preserve">facebook/omniASR-CTC-300M, 325M params</t>
  </si>
  <si>
    <t xml:space="preserve">omniASR_CTC_300M_v2</t>
  </si>
  <si>
    <t xml:space="preserve">facebook/omniASR-CTC-300M-v2, 325M params</t>
  </si>
  <si>
    <t xml:space="preserve">Survey IDs used by the per-survey columns</t>
  </si>
  <si>
    <t xml:space="preserve">2026-09-17 (Victor)</t>
  </si>
  <si>
    <t xml:space="preserve">46ec4547-5bbe-4b02-9c2a-cbcec7223e2c</t>
  </si>
  <si>
    <t xml:space="preserve">2026-09-21 PM (Susan)</t>
  </si>
  <si>
    <t xml:space="preserve">4f629181-d1dc-46cf-8e71-d819a4b33662</t>
  </si>
  <si>
    <t xml:space="preserve">2026-09-21 AM (Ednah)</t>
  </si>
  <si>
    <t xml:space="preserve">7db59ab6-e13d-4080-bb07-3842d8b51fe4</t>
  </si>
  <si>
    <t xml:space="preserve">Notes</t>
  </si>
  <si>
    <t xml:space="preserve">Key result</t>
  </si>
  <si>
    <t xml:space="preserve">omniASR-LLM-7B is best on both measures (WER 0.071, CER 0.021) but is far too large for a phone. Of the phone-sized Whisper models, dmusingu-cv14 has by far the lowest WER (0.146, about a fifth of build #70's 0.723) and CER 0.057, less than half the current model's 0.133 run the same way. cdli-cv20 and omniASR-CTC-300M-v2 have slightly lower CER (0.054) but roughly double the word errors.</t>
  </si>
  <si>
    <t xml:space="preserve">Local run</t>
  </si>
  <si>
    <t xml:space="preserve">The five Whisper models were run on Frank's Mac with CER_WER_calculation.ipynb: whisper.cpp 1.9.4 (Homebrew), 2 threads, recordings from audio/ and models from models/. An earlier cloud run (whisper.cpp v1.9.3, x86) gave 27-28 of 30 identical transcripts per model and the same ranking.</t>
  </si>
  <si>
    <t xml:space="preserve">Current model: phone vs local</t>
  </si>
  <si>
    <t xml:space="preserve">The same generic ggml-small-q5_1 model scores WER 0.723 / CER 0.179 in the app (build #70) and 0.670 / 0.133 run locally. The app saved transcripts of earlier takes for three answers (46ec4547 Q12 and Q14, 7db59ab6 Q9), and the remaining small differences come from the phone's processor and audio path.</t>
  </si>
  <si>
    <t xml:space="preserve">Reference corrections</t>
  </si>
  <si>
    <t xml:space="preserve">Two 46ec4547 references were changed to match the recordings, based on agreement between the models. Q14: the last take is a different answer ('Naweka gunia tano ya chakula, gunia tano nauza, na mbili ni ya mifugo'). Q15: the scripted answer once, since no model hears a clear second repeat.</t>
  </si>
  <si>
    <t xml:space="preserve">Number normalisation</t>
  </si>
  <si>
    <t xml:space="preserve">Before scoring, digits, percentages and ranges are converted to Swahili words in both the reference and every transcript ('30' -&gt; 'thelathini', '30%' -&gt; 'asilimia thelathini', '2-3' -&gt; 'mbili hadi tatu'), matching NormalizeSwahiliNumbers in the notebook. Number format is not counted as an error; a wrong number still is.</t>
  </si>
  <si>
    <t xml:space="preserve">Decoding</t>
  </si>
  <si>
    <t xml:space="preserve">Matches the Survey2026 app (whisperLib.c): language sw, greedy, best_of 1, no_context, no timestamps.</t>
  </si>
  <si>
    <t xml:space="preserve">Models</t>
  </si>
  <si>
    <t xml:space="preserve">Swahili models from the Survey2026 feature/swahili-whisper-* branches (Git LFS), checked against the SHA-256 values in SWAHILI_WHISPER_MODEL_COMPARISON.md; generic model from huggingface.co/ggerganov/whisper.cpp. All five are in models/.</t>
  </si>
  <si>
    <t xml:space="preserve">omniASR</t>
  </si>
  <si>
    <t xml:space="preserve">Run on a Colab A100 with omniASR_office_testing.ipynb (bf16, lang swh_Latn). The 'LLM-300M' models are 1.6B parameters in total; only the CTC-300M models (325M) are close to Whisper Small in size. They are PyTorch/fairseq2 checkpoints, not whisper.cpp files, so the app would need a different runtime.</t>
  </si>
  <si>
    <t xml:space="preserve">Reference text</t>
  </si>
  <si>
    <t xml:space="preserve">office_testing/expected_answers.json: numbers spelled out, last take per question, with the corrections above. Recording links point to audio/ in the ASR_Accuracy project.</t>
  </si>
  <si>
    <t xml:space="preserve">Timing</t>
  </si>
  <si>
    <t xml:space="preserve">Whisper seconds are from the Mac (about 0.5 s per clip) and omniASR seconds from an A100 GPU (CTC times round to 0.0); neither is a phone measurement.</t>
  </si>
  <si>
    <t xml:space="preserve">Edit counts in 'Per Recording' (blue) are computed values; the WER/CER here are live formulas over them.</t>
  </si>
  <si>
    <t xml:space="preserve">Survey</t>
  </si>
  <si>
    <t xml:space="preserve">Survey ID</t>
  </si>
  <si>
    <t xml:space="preserve">Question</t>
  </si>
  <si>
    <t xml:space="preserve">Expected answer</t>
  </si>
  <si>
    <t xml:space="preserve">Transcript</t>
  </si>
  <si>
    <t xml:space="preserve">Word edits</t>
  </si>
  <si>
    <t xml:space="preserve">Ref words</t>
  </si>
  <si>
    <t xml:space="preserve">Char edits</t>
  </si>
  <si>
    <t xml:space="preserve">Ref chars</t>
  </si>
  <si>
    <t xml:space="preserve">Seconds</t>
  </si>
  <si>
    <t xml:space="preserve">Recording (audio/)</t>
  </si>
  <si>
    <t xml:space="preserve">Q8</t>
  </si>
  <si>
    <t xml:space="preserve">Ndiyo, iliharibu majani na kupunguza mavuno.</t>
  </si>
  <si>
    <t xml:space="preserve">Ndiyo, elia ribu majani na kupunguza mawuno.</t>
  </si>
  <si>
    <t xml:space="preserve">audio/2026-09-17_46ec4547_Victor_Q08.wav</t>
  </si>
  <si>
    <t xml:space="preserve">Q9</t>
  </si>
  <si>
    <t xml:space="preserve">Naweza kukubali kupoteza hadi asilimia kumi ya mavuno.</t>
  </si>
  <si>
    <t xml:space="preserve">Na eza kukubali kupoteza hadia silimi ya kumi ya mawono.</t>
  </si>
  <si>
    <t xml:space="preserve">audio/2026-09-17_46ec4547_Victor_Q09.wav</t>
  </si>
  <si>
    <t xml:space="preserve">Q10</t>
  </si>
  <si>
    <t xml:space="preserve">Ikiwa uharibifu unafika karibu asilimia thelathini, nitabadilisha aina.</t>
  </si>
  <si>
    <t xml:space="preserve">Ikiva huwari defu inafika karibu asile miatela tini, intaba deleisha maa aina.</t>
  </si>
  <si>
    <t xml:space="preserve">audio/2026-09-17_46ec4547_Victor_Q10.wav</t>
  </si>
  <si>
    <t xml:space="preserve">Q11</t>
  </si>
  <si>
    <t xml:space="preserve">Iwe na mavuno mengi na iwe inastahimili ukame na wadudu.</t>
  </si>
  <si>
    <t xml:space="preserve">Iwe na mawuna mengi na iwe inasta emili ukame na wadulu</t>
  </si>
  <si>
    <t xml:space="preserve">audio/2026-09-17_46ec4547_Victor_Q11.wav</t>
  </si>
  <si>
    <t xml:space="preserve">Q12</t>
  </si>
  <si>
    <t xml:space="preserve">Hata tani moja kwa ekari, kama mbegu ni nzuri.</t>
  </si>
  <si>
    <t xml:space="preserve">Atata ni moja kwaekari kama mbegunin zori.</t>
  </si>
  <si>
    <t xml:space="preserve">audio/2026-09-17_46ec4547_Victor_Q12.wav</t>
  </si>
  <si>
    <t xml:space="preserve">Q13</t>
  </si>
  <si>
    <t xml:space="preserve">Wakati wa maua na kutengeneza punje.</t>
  </si>
  <si>
    <t xml:space="preserve">Wakati wamaoa na kutengeneza punje</t>
  </si>
  <si>
    <t xml:space="preserve">audio/2026-09-17_46ec4547_Victor_Q13.wav</t>
  </si>
  <si>
    <t xml:space="preserve">Q14</t>
  </si>
  <si>
    <t xml:space="preserve">Naweka gunia tano ya chakula, gunia tano nauza, na mbili ni ya mifugo.</t>
  </si>
  <si>
    <t xml:space="preserve">Ninaweka ya chakula na uza iliobaki na kidobu ni amifugo.</t>
  </si>
  <si>
    <t xml:space="preserve">audio/2026-09-17_46ec4547_Victor_Q14.wav</t>
  </si>
  <si>
    <t xml:space="preserve">Q15</t>
  </si>
  <si>
    <t xml:space="preserve">Nawapa kuku na nguruwe mahindi mara mbili hadi tatu kwa wiki.</t>
  </si>
  <si>
    <t xml:space="preserve">Nwaapa koko nanguruwe maindi marambili hadi tatu kua wiki.
 Nwaapa koko nanguruwe maindi marambili hadi tatu kua wiki.</t>
  </si>
  <si>
    <t xml:space="preserve">audio/2026-09-17_46ec4547_Victor_Q15.wav</t>
  </si>
  <si>
    <t xml:space="preserve">Q16</t>
  </si>
  <si>
    <t xml:space="preserve">Ninanunua kwa agrovet kwa sababu ninaamini ubora wake.</t>
  </si>
  <si>
    <t xml:space="preserve">Nina nunua kwa agrovet kwa sababu nina aminiu borawake.</t>
  </si>
  <si>
    <t xml:space="preserve">audio/2026-09-17_46ec4547_Victor_Q16.wav</t>
  </si>
  <si>
    <t xml:space="preserve">Q17</t>
  </si>
  <si>
    <t xml:space="preserve">Nauza kwa wafanyabiashara wa eneo kwa sababu wako karibu na hulipa haraka.</t>
  </si>
  <si>
    <t xml:space="preserve">Na uza kwa fanya bia shara wa ineu kwa sababu wa kukaribu na uli paraka.</t>
  </si>
  <si>
    <t xml:space="preserve">audio/2026-09-17_46ec4547_Victor_Q17.wav</t>
  </si>
  <si>
    <t xml:space="preserve">Ndiyo, iliharibu majani na kupunguza mabuna.</t>
  </si>
  <si>
    <t xml:space="preserve">audio/2026-09-21_4f629181_Susan_Q08.wav</t>
  </si>
  <si>
    <t xml:space="preserve">Naweza kukubali kupoteza hadiasi ni miakumi ya mabuno.</t>
  </si>
  <si>
    <t xml:space="preserve">audio/2026-09-21_4f629181_Susan_Q09.wav</t>
  </si>
  <si>
    <t xml:space="preserve">Ikiwa huharibifu unafika karibu asilimia telatini mita badili sha aina.</t>
  </si>
  <si>
    <t xml:space="preserve">audio/2026-09-21_4f629181_Susan_Q10.wav</t>
  </si>
  <si>
    <t xml:space="preserve">Iwe na mawunumengi na iwe inastahi mili wukame na wa dudo.</t>
  </si>
  <si>
    <t xml:space="preserve">audio/2026-09-21_4f629181_Susan_Q11.wav</t>
  </si>
  <si>
    <t xml:space="preserve">Hatata ni moja kwaikari kama mbeguninzuri.</t>
  </si>
  <si>
    <t xml:space="preserve">audio/2026-09-21_4f629181_Susan_Q12.wav</t>
  </si>
  <si>
    <t xml:space="preserve">Wakati wamawa na kutengeneza punje.</t>
  </si>
  <si>
    <t xml:space="preserve">audio/2026-09-21_4f629181_Susan_Q13.wav</t>
  </si>
  <si>
    <t xml:space="preserve">Ninaweka ya chakula, nauza iliyobaki na kidogo ni ya mifugo.</t>
  </si>
  <si>
    <t xml:space="preserve">Ni naweka e atyakula na uza ili obaki na kidogo ni yami fugo.</t>
  </si>
  <si>
    <t xml:space="preserve">audio/2026-09-21_4f629181_Susan_Q14.wav</t>
  </si>
  <si>
    <t xml:space="preserve">Nawa paku kuna gurue mahindi, marambili, hadi, tatu kua wiki.</t>
  </si>
  <si>
    <t xml:space="preserve">audio/2026-09-21_4f629181_Susan_Q15.wav</t>
  </si>
  <si>
    <t xml:space="preserve">Nina nunuwa kwa agrovet kwa sapabu Nina mini ubo rawake.</t>
  </si>
  <si>
    <t xml:space="preserve">audio/2026-09-21_4f629181_Susan_Q16.wav</t>
  </si>
  <si>
    <t xml:space="preserve">Nauza kwa wafanyi biyashara, waine o kosa babu wako karibu na huli paharaka.</t>
  </si>
  <si>
    <t xml:space="preserve">audio/2026-09-21_4f629181_Susan_Q17.wav</t>
  </si>
  <si>
    <t xml:space="preserve">Diyo, Iliya ribu majani na kupunguza mawono.</t>
  </si>
  <si>
    <t xml:space="preserve">audio/2026-09-21_7db59ab6_Ednah_Q08.wav</t>
  </si>
  <si>
    <t xml:space="preserve">Naweza kukubaliku putesa aji asili miakumi yama wuno.</t>
  </si>
  <si>
    <t xml:space="preserve">audio/2026-09-21_7db59ab6_Ednah_Q09.wav</t>
  </si>
  <si>
    <t xml:space="preserve">Ikwa ua ribifu unafika karibu asilimi atelatini nita badilisha aina.</t>
  </si>
  <si>
    <t xml:space="preserve">audio/2026-09-21_7db59ab6_Ednah_Q10.wav</t>
  </si>
  <si>
    <t xml:space="preserve">Iwe na mawuno mengi na iwe inasta imili ukame nga wadodo</t>
  </si>
  <si>
    <t xml:space="preserve">audio/2026-09-21_7db59ab6_Ednah_Q11.wav</t>
  </si>
  <si>
    <t xml:space="preserve">Hata tanimoja kwaikari kama mbegu nenzuri.</t>
  </si>
  <si>
    <t xml:space="preserve">audio/2026-09-21_7db59ab6_Ednah_Q12.wav</t>
  </si>
  <si>
    <t xml:space="preserve">Wakatiwa mawa, nakutengeneza punje</t>
  </si>
  <si>
    <t xml:space="preserve">audio/2026-09-21_7db59ab6_Ednah_Q13.wav</t>
  </si>
  <si>
    <t xml:space="preserve">Ninaweka ya chakula na uza iliobaki nakidogo niya mifugo</t>
  </si>
  <si>
    <t xml:space="preserve">audio/2026-09-21_7db59ab6_Ednah_Q14.wav</t>
  </si>
  <si>
    <t xml:space="preserve">Nawa pa kuku nanguruwe maindi marambili adi tatu kwa wiki</t>
  </si>
  <si>
    <t xml:space="preserve">audio/2026-09-21_7db59ab6_Ednah_Q15.wav</t>
  </si>
  <si>
    <t xml:space="preserve">Nina nunuwa kwa agrovet kwa sababu nina amini borawake.</t>
  </si>
  <si>
    <t xml:space="preserve">audio/2026-09-21_7db59ab6_Ednah_Q16.wav</t>
  </si>
  <si>
    <t xml:space="preserve">Na uza kwa fanya bieshara wa yene wa kwa sababu, wakoka ribuna ulipa araka.</t>
  </si>
  <si>
    <t xml:space="preserve">audio/2026-09-21_7db59ab6_Ednah_Q17.wav</t>
  </si>
  <si>
    <t xml:space="preserve">Atatani moja kwaikari ikwa mbegunin zori.</t>
  </si>
  <si>
    <t xml:space="preserve">Wakati wamaoa na kutengeneza punje.</t>
  </si>
  <si>
    <t xml:space="preserve">Naveka goni atano, ya chakula, goni atano, na uza, nambili ni amifugo.</t>
  </si>
  <si>
    <t xml:space="preserve">Nwaapa koko nanguruwe maindi marambili hadi tatu kua wiki. [Ruwa]</t>
  </si>
  <si>
    <t xml:space="preserve">Nina nunua kwa agrovet kwa sababu Nina amini wuborawake.</t>
  </si>
  <si>
    <t xml:space="preserve">Nga uza kwa fanya biyashara wa ineo kwa sababu wa kukaribu na uli paraka.</t>
  </si>
  <si>
    <t xml:space="preserve">Ndiyo, iliharibu majani na kupunguza mabuno.</t>
  </si>
  <si>
    <t xml:space="preserve">Nawa paku kuna gurue mahindi marambili hadi tatu kwawegi.</t>
  </si>
  <si>
    <t xml:space="preserve">Nina nunuwa kwa agrovet kwa sapabu Nina miniubo rawake.</t>
  </si>
  <si>
    <t xml:space="preserve">Nauza kwa wafanyi biyashara, waine o kosa babu wa kukaribu na huli paharaka.</t>
  </si>
  <si>
    <t xml:space="preserve">Ndiyo, ilia ribu majani na kupunguza mawono.</t>
  </si>
  <si>
    <t xml:space="preserve">Naweza kukubali kupoteza adi asilmiya kumi ya mawuno.</t>
  </si>
  <si>
    <t xml:space="preserve">Ikwa ua ribifu unafika karibu asilimi atelatini mitaba dilisha aina.</t>
  </si>
  <si>
    <t xml:space="preserve">Iwe na mawuno mengi na iwe inasta imili ukame na wadudu</t>
  </si>
  <si>
    <t xml:space="preserve">Wakatiwa mawa, nakutengeneza punje.</t>
  </si>
  <si>
    <t xml:space="preserve">Nawa pa kuku na nguruwe maindi marambili adi tatu kwa wiki</t>
  </si>
  <si>
    <t xml:space="preserve">Nauza kwa fanya bieshara wa yene wa kwa sababu wa koka ribuna ulipa araka.</t>
  </si>
  <si>
    <t xml:space="preserve">ndio iliyaribu majani na kupunguza mawuna</t>
  </si>
  <si>
    <t xml:space="preserve">naweza kukubali kupoteza hadi ya silimi ya kumi ya mavuno</t>
  </si>
  <si>
    <t xml:space="preserve">ikiwa uwaridifu inafika karibu asili mya telatini mtabadilisha maina</t>
  </si>
  <si>
    <t xml:space="preserve">iwe na mavuno mengi na iwe inastaye mili ukame na wadudu</t>
  </si>
  <si>
    <t xml:space="preserve">hatata ni moja kwa ikari ikiwa mbegu ni nzori</t>
  </si>
  <si>
    <t xml:space="preserve">wakati wa maua na kutengeneza punja</t>
  </si>
  <si>
    <t xml:space="preserve">naweka guni ya tano ya chakula guni ya tano na uza na mbili ni ya mifugo</t>
  </si>
  <si>
    <t xml:space="preserve">na wapa kuku na nkurue maindi marambili hadi tatu kwa wikiz</t>
  </si>
  <si>
    <t xml:space="preserve">lina unua kwa agro vetu kwa sababu ninaamini ubohawake</t>
  </si>
  <si>
    <t xml:space="preserve">nauza kwa wafanya biashara wa inayo kwa sababu wa kukaribu na ulimaaraka</t>
  </si>
  <si>
    <t xml:space="preserve">ndio ili haribu majani na kupongoza mawuna</t>
  </si>
  <si>
    <t xml:space="preserve">naweza kukubali kupoteza hadi ya sinimiakumi ya mavuno</t>
  </si>
  <si>
    <t xml:space="preserve">ikiwa uharibu fulaniika karibu asilimia 30 mtabadilisha aina</t>
  </si>
  <si>
    <t xml:space="preserve">iwe na mavuno mengi na iwe inastahimili ukame na wadudu</t>
  </si>
  <si>
    <t xml:space="preserve">hatata ni moja kwaikari kama mbegu ninzuri</t>
  </si>
  <si>
    <t xml:space="preserve">wakati wa maua na kutengeneza ponge</t>
  </si>
  <si>
    <t xml:space="preserve">naweka ya chakula na uzaili ya baki na kidogo ni ya mifugo</t>
  </si>
  <si>
    <t xml:space="preserve">na wapa kuguna nkurue mahindi mara mbili hadi tatu kwa wiki</t>
  </si>
  <si>
    <t xml:space="preserve">ninadu wa kwa agarovetra kwa sapabu nina miini ubora wake</t>
  </si>
  <si>
    <t xml:space="preserve">nauza kwa wafanyibiashara wenyeo kwa sapabu wa kwa karibu na hulipa haraka</t>
  </si>
  <si>
    <t xml:space="preserve">ndio ili ya ribu majani na kupunguza maguna</t>
  </si>
  <si>
    <t xml:space="preserve">naweza kukubali kupoteza adi asilimia kumi ya mavuno</t>
  </si>
  <si>
    <t xml:space="preserve">ikiwa uaribifu unafika karibu asilimia 30 mtabadilisha aina</t>
  </si>
  <si>
    <t xml:space="preserve">hata tanimoja kwa ekari kama mbegu nenzuri</t>
  </si>
  <si>
    <t xml:space="preserve">ninaweka ya chakula na uzailio baki na kidogo nia mifugo</t>
  </si>
  <si>
    <t xml:space="preserve">nawapa kuku na nguroa maindi marambiliadi tatu kwa wiki</t>
  </si>
  <si>
    <t xml:space="preserve">ninatulua kwa agrivate kwa sababu ninaamini borawake</t>
  </si>
  <si>
    <t xml:space="preserve">nauza kwa wafanya biashara waineeo kwa sababu wa kukaribu na ulipa araka</t>
  </si>
  <si>
    <t xml:space="preserve">ndio iliaribu majani na kupunguza mavuno</t>
  </si>
  <si>
    <t xml:space="preserve">Ndayeweza kukubali kupoteza hadi ya asilimia kumi ya mavuno.</t>
  </si>
  <si>
    <t xml:space="preserve">Ikiwa huo alijifu inafika karibu asilimia thelathini mtabadilisha aina</t>
  </si>
  <si>
    <t xml:space="preserve">iwe na mavuno mengi na iwe inastahimili ukame na wadulu</t>
  </si>
  <si>
    <t xml:space="preserve">Hata tani moja kwa ikari ikiwa mbegu ni nzuri</t>
  </si>
  <si>
    <t xml:space="preserve">Wakati wa maua na kutengeneza punge.</t>
  </si>
  <si>
    <t xml:space="preserve">Na weka goniatano ya chakula goniatano na uza na mbili ni ya mifugo</t>
  </si>
  <si>
    <t xml:space="preserve">Na wapa kuku na nguruwe maindi mara mbili hadi tatu kwa wikiMhuhu</t>
  </si>
  <si>
    <t xml:space="preserve">Linanunua kwa agrivert kwa sababu ni naamini ubora wake</t>
  </si>
  <si>
    <t xml:space="preserve">nauza kwa wafanyabiashara wa eneo kwa sababu wa kokaribu na ulipa haraka</t>
  </si>
  <si>
    <t xml:space="preserve">ndio iliharibu majani na kupunguza mavuno</t>
  </si>
  <si>
    <t xml:space="preserve">Ikiwa uharibifu unafika karibu asilimia thelathini mitabadilisha aina</t>
  </si>
  <si>
    <t xml:space="preserve">Hata tani moja kwa ikari kama mbegu ni nzuri</t>
  </si>
  <si>
    <t xml:space="preserve">Wakati wa maua na kutengeneza puje.</t>
  </si>
  <si>
    <t xml:space="preserve">Ninaweka ya chakula na uza iliyobaki na kidogo ni ya mifugo.</t>
  </si>
  <si>
    <t xml:space="preserve">Na wapakuku na nguruwe mahindi mara mbili hadi tatu kwa wiki</t>
  </si>
  <si>
    <t xml:space="preserve">Ninununua kwa agri wet kwa sampabu na minibora wake</t>
  </si>
  <si>
    <t xml:space="preserve">Nauza kwa wafanyibi ya shara wa eneo kwa sababu wa kukaribu na hulipa haraka.</t>
  </si>
  <si>
    <t xml:space="preserve">Ndio iliaribu majani na kupunguza mavuno.</t>
  </si>
  <si>
    <t xml:space="preserve">Naweza kukubali kupotezaadi asilimia kumi ya mavuno.</t>
  </si>
  <si>
    <t xml:space="preserve">Ikiwa uaribifu unafika karibu asilimia thelathini ni tabadilisha aina.</t>
  </si>
  <si>
    <t xml:space="preserve">Hata tani moja kwa ikari kama mbegu ni nzuri.</t>
  </si>
  <si>
    <t xml:space="preserve">Wakati wa maua na kutengeneza punja.</t>
  </si>
  <si>
    <t xml:space="preserve">Na wapa kuku na nguruwe maindi mara mbili hadi tatu kwa wike</t>
  </si>
  <si>
    <t xml:space="preserve">Ninanunua kwa agrivert kwa sababu na naamini bora wake.</t>
  </si>
  <si>
    <t xml:space="preserve">Na uza kwa wafanyabiashara wanaoneo kwa sababu wako karibu na ulipa haraka</t>
  </si>
  <si>
    <t xml:space="preserve">Ndio iliharibu majani na kupunguza mavuno.</t>
  </si>
  <si>
    <t xml:space="preserve">Naweza kukubali kupoteza hadi ya asilimia kumi ya mavuno.</t>
  </si>
  <si>
    <t xml:space="preserve">ikiwa waridhifu inafika karibu asilimia thelathini mtabadilisha ma aina.</t>
  </si>
  <si>
    <t xml:space="preserve">Hiiwe na mavuno mengi na hiiwe ina style mbili, ukame na wadudu.</t>
  </si>
  <si>
    <t xml:space="preserve">Hata taani moja kwa kikali ikiwa mbegu ni nzuri.</t>
  </si>
  <si>
    <t xml:space="preserve">Wakati wa maua na kutengeneza bunge.</t>
  </si>
  <si>
    <t xml:space="preserve">Naweka guni ya tano ya chakula, guni ya tano, nauza na mbili ni ya mifugo.</t>
  </si>
  <si>
    <t xml:space="preserve">Ni hapa kuku na nguruwe mahindi mara mbili hadi katu kwa wiki.Mama</t>
  </si>
  <si>
    <t xml:space="preserve">Ninanunua kwa agro wet kwa sababu ninaamini ubora wake.</t>
  </si>
  <si>
    <t xml:space="preserve">Nauza kwa wafanyabiashara wa eneo kwa sababu wako karibu na ulipa haraka.</t>
  </si>
  <si>
    <t xml:space="preserve">Ndio iliharibu majani na kupuguza mavuno.</t>
  </si>
  <si>
    <t xml:space="preserve">Naweza kukubali kupoteza hadi ya sinimia kumi ya mavuno.</t>
  </si>
  <si>
    <t xml:space="preserve">Ikiwa uharibu hifu unafika karibu asilimia thelathini mitabadilisha aina.</t>
  </si>
  <si>
    <t xml:space="preserve">Hiiwe na mavuno mengi na hivyo ina stahimili ukame na wadudu.</t>
  </si>
  <si>
    <t xml:space="preserve">Hata ni moja kwa ikari kama mbegu ni nzuri.</t>
  </si>
  <si>
    <t xml:space="preserve">Ninaweka ya chakula nauza iliyobaki na kidogo ni ya mifugo.</t>
  </si>
  <si>
    <t xml:space="preserve">Ninanunua kwa agrivet kwa sababu linaamini bora wake.</t>
  </si>
  <si>
    <t xml:space="preserve">Nauza kwa wafanyibiashara wa eneo kwa sababu wa kukaribu na hulipa haraka.</t>
  </si>
  <si>
    <t xml:space="preserve">Niweza kukubali kupoteza hadi asilimia kumi ya mavuno.</t>
  </si>
  <si>
    <t xml:space="preserve">Ikiwa uaribifu unafika karibu asilimia thelathini nitabadilisha aina.</t>
  </si>
  <si>
    <t xml:space="preserve">Hii na mavuno mengi na hiwe inasitai mbili, ukame na wadudu.</t>
  </si>
  <si>
    <t xml:space="preserve">Ninanunua kwa agriuate kwa sababu naamini bora wake.</t>
  </si>
  <si>
    <t xml:space="preserve">Nauza kwa wafanyabiashara wale eneo kwa sababu wako karibu na ulipa haraka.</t>
  </si>
  <si>
    <t xml:space="preserve">naweza kukubali kupoteza hadi ya asilimia kumi ya mavuno</t>
  </si>
  <si>
    <t xml:space="preserve">ikiwa uharibifu inafika karibu asilimia thelathini intabadilisha aina</t>
  </si>
  <si>
    <t xml:space="preserve">hata tani moja kwa ikari ikiwa mbegu ni nzuri</t>
  </si>
  <si>
    <t xml:space="preserve">naweka gunia tano ya chakula gunia tano nauza na mbili ni ya mifugo</t>
  </si>
  <si>
    <t xml:space="preserve">na wapa coco na nguruwe mahindi mara mbili hadi tatu kwa wikikina yule kokob lyatilo kmore ninanye maaan yako yana</t>
  </si>
  <si>
    <t xml:space="preserve">linaunua kwa agrovert kwa sababu ninaamini ubora wake</t>
  </si>
  <si>
    <t xml:space="preserve">nauza kwa wafanyabiashara wa eneo kwa sababu wako karibu na ulipa haraka</t>
  </si>
  <si>
    <t xml:space="preserve">naweza kukubali kupoteza hadi asilimia kumi ya mavuno</t>
  </si>
  <si>
    <t xml:space="preserve">ikiwa uharibifu unafika karibu asilimia thelathini mitabadilisha aina</t>
  </si>
  <si>
    <t xml:space="preserve">hata tani moja kwa ikari kama mbegu ni nzuri</t>
  </si>
  <si>
    <t xml:space="preserve">wakati wa maua na kutengeneza punje</t>
  </si>
  <si>
    <t xml:space="preserve">ninaweka ya chakula nauza iliyobaki na kidogo ni ya mifugo</t>
  </si>
  <si>
    <t xml:space="preserve">na wapa kuku na nguruwe mahindi mara mbili hadi tatu kwa wiki</t>
  </si>
  <si>
    <t xml:space="preserve">ninunua kwa agrovat kwa sababu ninaamini ubora wake</t>
  </si>
  <si>
    <t xml:space="preserve">nauza kwa wafanyabiashara wa eneo kwa sababu wako karibu na hulipa haraka</t>
  </si>
  <si>
    <t xml:space="preserve">ndiyo iliyaribu majani na kupunguza mavuno</t>
  </si>
  <si>
    <t xml:space="preserve">ikiwa uharibifu unafika karibu asilimia thelathini nitabadilisha aina</t>
  </si>
  <si>
    <t xml:space="preserve">iwe na mavuno mengi na iwe inastahimili ukame na wadodo</t>
  </si>
  <si>
    <t xml:space="preserve">hata tani moja kwa ekari kama mbegu ni nzuri</t>
  </si>
  <si>
    <t xml:space="preserve">ninaweka ya chakula na usa iliyobaki na kidogo ya mifugo</t>
  </si>
  <si>
    <t xml:space="preserve">ninanunua kwa agrovate kwa sababu ninaamini ubora wake</t>
  </si>
  <si>
    <t xml:space="preserve">ndiyo iliharibu majani na kupunguza mavuno</t>
  </si>
  <si>
    <t xml:space="preserve">ikiwa uharibifu inafika karibu asilimia 30 nitabadilisha aina</t>
  </si>
  <si>
    <t xml:space="preserve">hata tani moja kwa ekari ikiwa mbegu ni nzuri</t>
  </si>
  <si>
    <t xml:space="preserve">naweka gunia tano na chakula gunia tano na uza na mbili ni ya mifugo</t>
  </si>
  <si>
    <t xml:space="preserve">nawapa kuku na nguruwe mahindi mara mbili hadi tatu kwa wiki</t>
  </si>
  <si>
    <t xml:space="preserve">ninanunua kwa agrovet kwa sababu ninaamini ubora wake</t>
  </si>
  <si>
    <t xml:space="preserve">ikiwa uharibifu unafika karibu 30 nitabadilisha aina</t>
  </si>
  <si>
    <t xml:space="preserve">ninaweka ya chakula na uza iliyobaki na kidogo ni ya mifugo</t>
  </si>
  <si>
    <t xml:space="preserve">nawapa kuku na nguruwe mahindi mara 2-3 kwa wiki</t>
  </si>
  <si>
    <t xml:space="preserve">ikiwa uharibifu unafika karibu asilimia 30 nitabadilisha aina</t>
  </si>
  <si>
    <t xml:space="preserve">hata tani moja kwa hekali kama mbegu ni nzuri</t>
  </si>
  <si>
    <t xml:space="preserve">nina weka ya chakula na uza iliyobaki na kidogo ni ya mifugo</t>
  </si>
  <si>
    <t xml:space="preserve">na uapa kuku na nguruwe mahindi mara 200 kwa wiki</t>
  </si>
  <si>
    <t xml:space="preserve">ninanunua kwa aggrovet kwa sababu ninaamini ubora wake</t>
  </si>
  <si>
    <t xml:space="preserve">ikiwa uharibifu inafika karibu asilimia nitabadilisha aina</t>
  </si>
  <si>
    <t xml:space="preserve">hata tani moja kwa hekari ikiwa mbegu ni nzuri</t>
  </si>
  <si>
    <t xml:space="preserve">naweka guniatano ya chakula guniatano na uza na mbili ya mifugo</t>
  </si>
  <si>
    <t xml:space="preserve">na wapa kuku na nguruwe maindi mara mbili hadi tatu kwa wiki</t>
  </si>
  <si>
    <t xml:space="preserve">linanunua kwa agrovet kwa sababu ninaamini ubora wake</t>
  </si>
  <si>
    <t xml:space="preserve">ndio iliharibu majani na kupunguza maguno</t>
  </si>
  <si>
    <t xml:space="preserve">hata tani mmoja kwa ikari kama mbegu ni nzuri</t>
  </si>
  <si>
    <t xml:space="preserve">ninanunua kwa agrowet kwa sababu ninaamini ubora wake</t>
  </si>
  <si>
    <t xml:space="preserve">naweza kukubali kupoteza adi ya mavuno</t>
  </si>
  <si>
    <t xml:space="preserve">ikiwa uharibifu unafika karibu asilimia nitabadilisha aina</t>
  </si>
  <si>
    <t xml:space="preserve">hata tani moja kwa hekari kama mbegu ni nzuri</t>
  </si>
  <si>
    <t xml:space="preserve">ninaweka ya chakula nauza iliyo baki na kidogo ni ya mifugo</t>
  </si>
  <si>
    <t xml:space="preserve">inaweza kukubali kupoteza hadi asilimia kumi ya mavuno</t>
  </si>
  <si>
    <t xml:space="preserve">ikiwa uharijivu inafika karibu asilimia thelathini nitabadilisha aina</t>
  </si>
  <si>
    <t xml:space="preserve">inaweka guniatano ya chakula guniatano na uza na mbili ni ya mifugo</t>
  </si>
  <si>
    <t xml:space="preserve">linanunua kwa kwa sababu ninaamini ubora wake</t>
  </si>
  <si>
    <t xml:space="preserve">nina weka ya chakula nauza iliyobaki na kidogo ni ya mifugo</t>
  </si>
  <si>
    <t xml:space="preserve">nina nunua kwa agrovet kwa sababu nina miniu bora wake</t>
  </si>
  <si>
    <t xml:space="preserve">nauzwa kwa wafanyibiashara wa eneo kwa sababu wako karibu na hulipa haraka</t>
  </si>
  <si>
    <t xml:space="preserve">na weza kukubali kupoteza adi asilimia kumi ya mavuno</t>
  </si>
  <si>
    <t xml:space="preserve">iwe na mavuno mengi na iwe ina staimili ukame na wadudu</t>
  </si>
  <si>
    <t xml:space="preserve">nina weka ya chakula na uza iliyo baki na kidogo ni ya mifugo</t>
  </si>
  <si>
    <t xml:space="preserve">ndiyo iliharibu majani na kupunguza mavuna</t>
  </si>
  <si>
    <t xml:space="preserve">ikiwa huarijifu inafika karibu asilimia nitabadilisha maaina</t>
  </si>
  <si>
    <t xml:space="preserve">iwe na mavuno mengi na iwe inastaimili ukame na wadudu</t>
  </si>
  <si>
    <t xml:space="preserve">na weka guni ya tano ya chakula guni ya tano na uza na mbilini ya mifugo</t>
  </si>
  <si>
    <t xml:space="preserve">na wapa kuku na ngurue maindi mara mbili hadi tatu kwa wiki</t>
  </si>
  <si>
    <t xml:space="preserve">nauza kwa wafanya biashara wa eneo kwa sababu wako karibu na ulipa haraka</t>
  </si>
  <si>
    <t xml:space="preserve">ndiyo iliharibu majani na kupunguza maguno</t>
  </si>
  <si>
    <t xml:space="preserve">naweza kukubali kupoteza hadi yasilimia kumi ya mavuno</t>
  </si>
  <si>
    <t xml:space="preserve">ikiwa ukaribufu unafika karibu asilimia nitabadilisha aina</t>
  </si>
  <si>
    <t xml:space="preserve">na wapa kuku na ngurue mahindi maral hadi tatu kwa wiki</t>
  </si>
  <si>
    <t xml:space="preserve">ninanunua kwa agrovet kwa sababu nina mini ubora wake</t>
  </si>
  <si>
    <t xml:space="preserve">nauza kwa wafanye biashara waeneo kwa sababu wako karibu na hulipa haraka</t>
  </si>
  <si>
    <t xml:space="preserve">ndiyo iliaribu majani na kupunguza mavuno</t>
  </si>
  <si>
    <t xml:space="preserve">naweza kukubali kupoteza adi asilimiaki ya mavuno</t>
  </si>
  <si>
    <t xml:space="preserve">ikiwa uaribifu unafika karibu asilimi ya nitabadilisha aina</t>
  </si>
  <si>
    <t xml:space="preserve">ninaweka ya chakula na uza iliyo baki na kidogo niya mifugo</t>
  </si>
  <si>
    <t xml:space="preserve">na wapa kuku na ngurue maindi maradi tatu kwa wiki</t>
  </si>
  <si>
    <t xml:space="preserve">nauza kwa wafanya biashara waeneo kwa sababu wako karibu na ulipa araka</t>
  </si>
  <si>
    <t xml:space="preserve">ndio iliaribu majani na kupunguza mavuna</t>
  </si>
  <si>
    <t xml:space="preserve">ikiwa huarijifu inafika karibu asilimia telathini nitabadilisha aina</t>
  </si>
  <si>
    <t xml:space="preserve">hata tani moja kwa hekari ikiwa mbegu ni nzori</t>
  </si>
  <si>
    <t xml:space="preserve">na weka guniatano ya chakula guniatano na uza na mbili ni ya mifugo</t>
  </si>
  <si>
    <t xml:space="preserve">na wapa koko na ngurue maindi marambili hadi tatu kwa wiki</t>
  </si>
  <si>
    <t xml:space="preserve">linanunua kwa agrovet kwa sababu ni na amini ubora wake</t>
  </si>
  <si>
    <t xml:space="preserve">nauza kwa wafanya biashara wa eneo kwa sababu wako karibu na ulipa araka</t>
  </si>
  <si>
    <t xml:space="preserve">inaweza kukubali kupoteza hadi ya silimi ya kumi ya mavuno</t>
  </si>
  <si>
    <t xml:space="preserve">ikiwa uharibifu unafika karibu asilimia 3elahini nitabadilisha aina</t>
  </si>
  <si>
    <t xml:space="preserve">hiwe na mavuno mengi na iwe inastahimili ukame na wadudu</t>
  </si>
  <si>
    <t xml:space="preserve">na wapa kuku na nguruya mahindi marambili hadi tatu kwa wiki</t>
  </si>
  <si>
    <t xml:space="preserve">ninanunua kwa agrovet kwa sababu ni na miniu mbora wake</t>
  </si>
  <si>
    <t xml:space="preserve">nauza kwa wafanyi biashara waeneo kwa sababu wa kwakaribu na hulipa haraka</t>
  </si>
  <si>
    <t xml:space="preserve">ikiwa uaribifu unafika karibu asilimi ya thelathini nitabadilisha aina</t>
  </si>
  <si>
    <t xml:space="preserve">hiwe na mavuno mengi na hiwe inastaimili ukame na wadudu</t>
  </si>
  <si>
    <t xml:space="preserve">ni na weka ya chakula na uza iliyo baki na kidogo niya mifugo</t>
  </si>
  <si>
    <t xml:space="preserve">na wapa kuku na ngurue maindi marambili adi tatu kwa wiki</t>
  </si>
  <si>
    <t xml:space="preserve">ninanunua kwa agrovet kwa sababu ni naamini ubora wake</t>
  </si>
  <si>
    <t xml:space="preserve">nauza kwa wafanya biashara waeneo kwa sababu wakwa karibu na ulipa araka</t>
  </si>
</sst>
</file>

<file path=xl/styles.xml><?xml version="1.0" encoding="utf-8"?>
<styleSheet xmlns="http://schemas.openxmlformats.org/spreadsheetml/2006/main">
  <numFmts count="4">
    <numFmt numFmtId="164" formatCode="General"/>
    <numFmt numFmtId="165" formatCode="General"/>
    <numFmt numFmtId="166" formatCode="0.000"/>
    <numFmt numFmtId="167" formatCode="0.0"/>
  </numFmts>
  <fonts count="13">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1"/>
      <color rgb="FF595959"/>
      <name val="Arial"/>
      <family val="0"/>
      <charset val="1"/>
    </font>
    <font>
      <b val="true"/>
      <sz val="11"/>
      <color rgb="FFFFFFFF"/>
      <name val="Arial"/>
      <family val="0"/>
      <charset val="1"/>
    </font>
    <font>
      <sz val="11"/>
      <name val="Arial"/>
      <family val="0"/>
      <charset val="1"/>
    </font>
    <font>
      <b val="true"/>
      <sz val="11"/>
      <name val="Arial"/>
      <family val="0"/>
      <charset val="1"/>
    </font>
    <font>
      <sz val="11"/>
      <color rgb="FF0000FF"/>
      <name val="Arial"/>
      <family val="0"/>
      <charset val="1"/>
    </font>
    <font>
      <b val="true"/>
      <sz val="12"/>
      <name val="Arial"/>
      <family val="0"/>
      <charset val="1"/>
    </font>
    <font>
      <u val="single"/>
      <sz val="11"/>
      <color rgb="FF0563C1"/>
      <name val="Arial"/>
      <family val="0"/>
      <charset val="1"/>
    </font>
    <font>
      <sz val="10"/>
      <name val="Arial"/>
      <family val="2"/>
    </font>
  </fonts>
  <fills count="4">
    <fill>
      <patternFill patternType="none"/>
    </fill>
    <fill>
      <patternFill patternType="gray125"/>
    </fill>
    <fill>
      <patternFill patternType="solid">
        <fgColor rgb="FF1F4E78"/>
        <bgColor rgb="FF003366"/>
      </patternFill>
    </fill>
    <fill>
      <patternFill patternType="solid">
        <fgColor rgb="FFE2EFDA"/>
        <bgColor rgb="FFFFFFCC"/>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false" indent="0" shrinkToFit="false"/>
      <protection locked="true" hidden="false"/>
    </xf>
    <xf numFmtId="166" fontId="7" fillId="0" borderId="1" xfId="0" applyFont="true" applyBorder="true" applyAlignment="true" applyProtection="false">
      <alignment horizontal="general" vertical="top" textRotation="0" wrapText="false" indent="0" shrinkToFit="false"/>
      <protection locked="true" hidden="false"/>
    </xf>
    <xf numFmtId="167" fontId="7" fillId="0" borderId="1" xfId="0" applyFont="true" applyBorder="true" applyAlignment="true" applyProtection="false">
      <alignment horizontal="general" vertical="top" textRotation="0" wrapText="fals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5" fontId="7" fillId="3" borderId="1" xfId="0" applyFont="true" applyBorder="true" applyAlignment="true" applyProtection="false">
      <alignment horizontal="general" vertical="top" textRotation="0" wrapText="false" indent="0" shrinkToFit="false"/>
      <protection locked="true" hidden="false"/>
    </xf>
    <xf numFmtId="166" fontId="7" fillId="3" borderId="1" xfId="0" applyFont="true" applyBorder="true" applyAlignment="true" applyProtection="false">
      <alignment horizontal="general" vertical="top" textRotation="0" wrapText="false" indent="0" shrinkToFit="false"/>
      <protection locked="true" hidden="false"/>
    </xf>
    <xf numFmtId="167" fontId="7" fillId="3" borderId="1" xfId="0" applyFont="true" applyBorder="true" applyAlignment="true" applyProtection="false">
      <alignment horizontal="general" vertical="top"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6" fontId="7"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0563C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audio/2026-09-17_46ec4547_Victor_Q08.wav" TargetMode="External"/><Relationship Id="rId3" Type="http://schemas.openxmlformats.org/officeDocument/2006/relationships/hyperlink" Target="audio/2026-09-17_46ec4547_Victor_Q09.wav" TargetMode="External"/><Relationship Id="rId4" Type="http://schemas.openxmlformats.org/officeDocument/2006/relationships/hyperlink" Target="audio/2026-09-17_46ec4547_Victor_Q10.wav" TargetMode="External"/><Relationship Id="rId5" Type="http://schemas.openxmlformats.org/officeDocument/2006/relationships/hyperlink" Target="audio/2026-09-17_46ec4547_Victor_Q11.wav" TargetMode="External"/><Relationship Id="rId6" Type="http://schemas.openxmlformats.org/officeDocument/2006/relationships/hyperlink" Target="audio/2026-09-17_46ec4547_Victor_Q12.wav" TargetMode="External"/><Relationship Id="rId7" Type="http://schemas.openxmlformats.org/officeDocument/2006/relationships/hyperlink" Target="audio/2026-09-17_46ec4547_Victor_Q13.wav" TargetMode="External"/><Relationship Id="rId8" Type="http://schemas.openxmlformats.org/officeDocument/2006/relationships/hyperlink" Target="audio/2026-09-17_46ec4547_Victor_Q14.wav" TargetMode="External"/><Relationship Id="rId9" Type="http://schemas.openxmlformats.org/officeDocument/2006/relationships/hyperlink" Target="audio/2026-09-17_46ec4547_Victor_Q15.wav" TargetMode="External"/><Relationship Id="rId10" Type="http://schemas.openxmlformats.org/officeDocument/2006/relationships/hyperlink" Target="audio/2026-09-17_46ec4547_Victor_Q16.wav" TargetMode="External"/><Relationship Id="rId11" Type="http://schemas.openxmlformats.org/officeDocument/2006/relationships/hyperlink" Target="audio/2026-09-17_46ec4547_Victor_Q17.wav" TargetMode="External"/><Relationship Id="rId12" Type="http://schemas.openxmlformats.org/officeDocument/2006/relationships/hyperlink" Target="audio/2026-09-21_4f629181_Susan_Q08.wav" TargetMode="External"/><Relationship Id="rId13" Type="http://schemas.openxmlformats.org/officeDocument/2006/relationships/hyperlink" Target="audio/2026-09-21_4f629181_Susan_Q09.wav" TargetMode="External"/><Relationship Id="rId14" Type="http://schemas.openxmlformats.org/officeDocument/2006/relationships/hyperlink" Target="audio/2026-09-21_4f629181_Susan_Q10.wav" TargetMode="External"/><Relationship Id="rId15" Type="http://schemas.openxmlformats.org/officeDocument/2006/relationships/hyperlink" Target="audio/2026-09-21_4f629181_Susan_Q11.wav" TargetMode="External"/><Relationship Id="rId16" Type="http://schemas.openxmlformats.org/officeDocument/2006/relationships/hyperlink" Target="audio/2026-09-21_4f629181_Susan_Q12.wav" TargetMode="External"/><Relationship Id="rId17" Type="http://schemas.openxmlformats.org/officeDocument/2006/relationships/hyperlink" Target="audio/2026-09-21_4f629181_Susan_Q13.wav" TargetMode="External"/><Relationship Id="rId18" Type="http://schemas.openxmlformats.org/officeDocument/2006/relationships/hyperlink" Target="audio/2026-09-21_4f629181_Susan_Q14.wav" TargetMode="External"/><Relationship Id="rId19" Type="http://schemas.openxmlformats.org/officeDocument/2006/relationships/hyperlink" Target="audio/2026-09-21_4f629181_Susan_Q15.wav" TargetMode="External"/><Relationship Id="rId20" Type="http://schemas.openxmlformats.org/officeDocument/2006/relationships/hyperlink" Target="audio/2026-09-21_4f629181_Susan_Q16.wav" TargetMode="External"/><Relationship Id="rId21" Type="http://schemas.openxmlformats.org/officeDocument/2006/relationships/hyperlink" Target="audio/2026-09-21_4f629181_Susan_Q17.wav" TargetMode="External"/><Relationship Id="rId22" Type="http://schemas.openxmlformats.org/officeDocument/2006/relationships/hyperlink" Target="audio/2026-09-21_7db59ab6_Ednah_Q08.wav" TargetMode="External"/><Relationship Id="rId23" Type="http://schemas.openxmlformats.org/officeDocument/2006/relationships/hyperlink" Target="audio/2026-09-21_7db59ab6_Ednah_Q09.wav" TargetMode="External"/><Relationship Id="rId24" Type="http://schemas.openxmlformats.org/officeDocument/2006/relationships/hyperlink" Target="audio/2026-09-21_7db59ab6_Ednah_Q10.wav" TargetMode="External"/><Relationship Id="rId25" Type="http://schemas.openxmlformats.org/officeDocument/2006/relationships/hyperlink" Target="audio/2026-09-21_7db59ab6_Ednah_Q11.wav" TargetMode="External"/><Relationship Id="rId26" Type="http://schemas.openxmlformats.org/officeDocument/2006/relationships/hyperlink" Target="audio/2026-09-21_7db59ab6_Ednah_Q12.wav" TargetMode="External"/><Relationship Id="rId27" Type="http://schemas.openxmlformats.org/officeDocument/2006/relationships/hyperlink" Target="audio/2026-09-21_7db59ab6_Ednah_Q13.wav" TargetMode="External"/><Relationship Id="rId28" Type="http://schemas.openxmlformats.org/officeDocument/2006/relationships/hyperlink" Target="audio/2026-09-21_7db59ab6_Ednah_Q14.wav" TargetMode="External"/><Relationship Id="rId29" Type="http://schemas.openxmlformats.org/officeDocument/2006/relationships/hyperlink" Target="audio/2026-09-21_7db59ab6_Ednah_Q15.wav" TargetMode="External"/><Relationship Id="rId30" Type="http://schemas.openxmlformats.org/officeDocument/2006/relationships/hyperlink" Target="audio/2026-09-21_7db59ab6_Ednah_Q16.wav" TargetMode="External"/><Relationship Id="rId31" Type="http://schemas.openxmlformats.org/officeDocument/2006/relationships/hyperlink" Target="audio/2026-09-21_7db59ab6_Ednah_Q17.wav" TargetMode="External"/><Relationship Id="rId32" Type="http://schemas.openxmlformats.org/officeDocument/2006/relationships/hyperlink" Target="audio/2026-09-17_46ec4547_Victor_Q08.wav" TargetMode="External"/><Relationship Id="rId33" Type="http://schemas.openxmlformats.org/officeDocument/2006/relationships/hyperlink" Target="audio/2026-09-17_46ec4547_Victor_Q09.wav" TargetMode="External"/><Relationship Id="rId34" Type="http://schemas.openxmlformats.org/officeDocument/2006/relationships/hyperlink" Target="audio/2026-09-17_46ec4547_Victor_Q10.wav" TargetMode="External"/><Relationship Id="rId35" Type="http://schemas.openxmlformats.org/officeDocument/2006/relationships/hyperlink" Target="audio/2026-09-17_46ec4547_Victor_Q11.wav" TargetMode="External"/><Relationship Id="rId36" Type="http://schemas.openxmlformats.org/officeDocument/2006/relationships/hyperlink" Target="audio/2026-09-17_46ec4547_Victor_Q12.wav" TargetMode="External"/><Relationship Id="rId37" Type="http://schemas.openxmlformats.org/officeDocument/2006/relationships/hyperlink" Target="audio/2026-09-17_46ec4547_Victor_Q13.wav" TargetMode="External"/><Relationship Id="rId38" Type="http://schemas.openxmlformats.org/officeDocument/2006/relationships/hyperlink" Target="audio/2026-09-17_46ec4547_Victor_Q14.wav" TargetMode="External"/><Relationship Id="rId39" Type="http://schemas.openxmlformats.org/officeDocument/2006/relationships/hyperlink" Target="audio/2026-09-17_46ec4547_Victor_Q15.wav" TargetMode="External"/><Relationship Id="rId40" Type="http://schemas.openxmlformats.org/officeDocument/2006/relationships/hyperlink" Target="audio/2026-09-17_46ec4547_Victor_Q16.wav" TargetMode="External"/><Relationship Id="rId41" Type="http://schemas.openxmlformats.org/officeDocument/2006/relationships/hyperlink" Target="audio/2026-09-17_46ec4547_Victor_Q17.wav" TargetMode="External"/><Relationship Id="rId42" Type="http://schemas.openxmlformats.org/officeDocument/2006/relationships/hyperlink" Target="audio/2026-09-21_4f629181_Susan_Q08.wav" TargetMode="External"/><Relationship Id="rId43" Type="http://schemas.openxmlformats.org/officeDocument/2006/relationships/hyperlink" Target="audio/2026-09-21_4f629181_Susan_Q09.wav" TargetMode="External"/><Relationship Id="rId44" Type="http://schemas.openxmlformats.org/officeDocument/2006/relationships/hyperlink" Target="audio/2026-09-21_4f629181_Susan_Q10.wav" TargetMode="External"/><Relationship Id="rId45" Type="http://schemas.openxmlformats.org/officeDocument/2006/relationships/hyperlink" Target="audio/2026-09-21_4f629181_Susan_Q11.wav" TargetMode="External"/><Relationship Id="rId46" Type="http://schemas.openxmlformats.org/officeDocument/2006/relationships/hyperlink" Target="audio/2026-09-21_4f629181_Susan_Q12.wav" TargetMode="External"/><Relationship Id="rId47" Type="http://schemas.openxmlformats.org/officeDocument/2006/relationships/hyperlink" Target="audio/2026-09-21_4f629181_Susan_Q13.wav" TargetMode="External"/><Relationship Id="rId48" Type="http://schemas.openxmlformats.org/officeDocument/2006/relationships/hyperlink" Target="audio/2026-09-21_4f629181_Susan_Q14.wav" TargetMode="External"/><Relationship Id="rId49" Type="http://schemas.openxmlformats.org/officeDocument/2006/relationships/hyperlink" Target="audio/2026-09-21_4f629181_Susan_Q15.wav" TargetMode="External"/><Relationship Id="rId50" Type="http://schemas.openxmlformats.org/officeDocument/2006/relationships/hyperlink" Target="audio/2026-09-21_4f629181_Susan_Q16.wav" TargetMode="External"/><Relationship Id="rId51" Type="http://schemas.openxmlformats.org/officeDocument/2006/relationships/hyperlink" Target="audio/2026-09-21_4f629181_Susan_Q17.wav" TargetMode="External"/><Relationship Id="rId52" Type="http://schemas.openxmlformats.org/officeDocument/2006/relationships/hyperlink" Target="audio/2026-09-21_7db59ab6_Ednah_Q08.wav" TargetMode="External"/><Relationship Id="rId53" Type="http://schemas.openxmlformats.org/officeDocument/2006/relationships/hyperlink" Target="audio/2026-09-21_7db59ab6_Ednah_Q09.wav" TargetMode="External"/><Relationship Id="rId54" Type="http://schemas.openxmlformats.org/officeDocument/2006/relationships/hyperlink" Target="audio/2026-09-21_7db59ab6_Ednah_Q10.wav" TargetMode="External"/><Relationship Id="rId55" Type="http://schemas.openxmlformats.org/officeDocument/2006/relationships/hyperlink" Target="audio/2026-09-21_7db59ab6_Ednah_Q11.wav" TargetMode="External"/><Relationship Id="rId56" Type="http://schemas.openxmlformats.org/officeDocument/2006/relationships/hyperlink" Target="audio/2026-09-21_7db59ab6_Ednah_Q12.wav" TargetMode="External"/><Relationship Id="rId57" Type="http://schemas.openxmlformats.org/officeDocument/2006/relationships/hyperlink" Target="audio/2026-09-21_7db59ab6_Ednah_Q13.wav" TargetMode="External"/><Relationship Id="rId58" Type="http://schemas.openxmlformats.org/officeDocument/2006/relationships/hyperlink" Target="audio/2026-09-21_7db59ab6_Ednah_Q14.wav" TargetMode="External"/><Relationship Id="rId59" Type="http://schemas.openxmlformats.org/officeDocument/2006/relationships/hyperlink" Target="audio/2026-09-21_7db59ab6_Ednah_Q15.wav" TargetMode="External"/><Relationship Id="rId60" Type="http://schemas.openxmlformats.org/officeDocument/2006/relationships/hyperlink" Target="audio/2026-09-21_7db59ab6_Ednah_Q16.wav" TargetMode="External"/><Relationship Id="rId61" Type="http://schemas.openxmlformats.org/officeDocument/2006/relationships/hyperlink" Target="audio/2026-09-21_7db59ab6_Ednah_Q17.wav" TargetMode="External"/><Relationship Id="rId62" Type="http://schemas.openxmlformats.org/officeDocument/2006/relationships/hyperlink" Target="audio/2026-09-17_46ec4547_Victor_Q08.wav" TargetMode="External"/><Relationship Id="rId63" Type="http://schemas.openxmlformats.org/officeDocument/2006/relationships/hyperlink" Target="audio/2026-09-17_46ec4547_Victor_Q09.wav" TargetMode="External"/><Relationship Id="rId64" Type="http://schemas.openxmlformats.org/officeDocument/2006/relationships/hyperlink" Target="audio/2026-09-17_46ec4547_Victor_Q10.wav" TargetMode="External"/><Relationship Id="rId65" Type="http://schemas.openxmlformats.org/officeDocument/2006/relationships/hyperlink" Target="audio/2026-09-17_46ec4547_Victor_Q11.wav" TargetMode="External"/><Relationship Id="rId66" Type="http://schemas.openxmlformats.org/officeDocument/2006/relationships/hyperlink" Target="audio/2026-09-17_46ec4547_Victor_Q12.wav" TargetMode="External"/><Relationship Id="rId67" Type="http://schemas.openxmlformats.org/officeDocument/2006/relationships/hyperlink" Target="audio/2026-09-17_46ec4547_Victor_Q13.wav" TargetMode="External"/><Relationship Id="rId68" Type="http://schemas.openxmlformats.org/officeDocument/2006/relationships/hyperlink" Target="audio/2026-09-17_46ec4547_Victor_Q14.wav" TargetMode="External"/><Relationship Id="rId69" Type="http://schemas.openxmlformats.org/officeDocument/2006/relationships/hyperlink" Target="audio/2026-09-17_46ec4547_Victor_Q15.wav" TargetMode="External"/><Relationship Id="rId70" Type="http://schemas.openxmlformats.org/officeDocument/2006/relationships/hyperlink" Target="audio/2026-09-17_46ec4547_Victor_Q16.wav" TargetMode="External"/><Relationship Id="rId71" Type="http://schemas.openxmlformats.org/officeDocument/2006/relationships/hyperlink" Target="audio/2026-09-17_46ec4547_Victor_Q17.wav" TargetMode="External"/><Relationship Id="rId72" Type="http://schemas.openxmlformats.org/officeDocument/2006/relationships/hyperlink" Target="audio/2026-09-21_4f629181_Susan_Q08.wav" TargetMode="External"/><Relationship Id="rId73" Type="http://schemas.openxmlformats.org/officeDocument/2006/relationships/hyperlink" Target="audio/2026-09-21_4f629181_Susan_Q09.wav" TargetMode="External"/><Relationship Id="rId74" Type="http://schemas.openxmlformats.org/officeDocument/2006/relationships/hyperlink" Target="audio/2026-09-21_4f629181_Susan_Q10.wav" TargetMode="External"/><Relationship Id="rId75" Type="http://schemas.openxmlformats.org/officeDocument/2006/relationships/hyperlink" Target="audio/2026-09-21_4f629181_Susan_Q11.wav" TargetMode="External"/><Relationship Id="rId76" Type="http://schemas.openxmlformats.org/officeDocument/2006/relationships/hyperlink" Target="audio/2026-09-21_4f629181_Susan_Q12.wav" TargetMode="External"/><Relationship Id="rId77" Type="http://schemas.openxmlformats.org/officeDocument/2006/relationships/hyperlink" Target="audio/2026-09-21_4f629181_Susan_Q13.wav" TargetMode="External"/><Relationship Id="rId78" Type="http://schemas.openxmlformats.org/officeDocument/2006/relationships/hyperlink" Target="audio/2026-09-21_4f629181_Susan_Q14.wav" TargetMode="External"/><Relationship Id="rId79" Type="http://schemas.openxmlformats.org/officeDocument/2006/relationships/hyperlink" Target="audio/2026-09-21_4f629181_Susan_Q15.wav" TargetMode="External"/><Relationship Id="rId80" Type="http://schemas.openxmlformats.org/officeDocument/2006/relationships/hyperlink" Target="audio/2026-09-21_4f629181_Susan_Q16.wav" TargetMode="External"/><Relationship Id="rId81" Type="http://schemas.openxmlformats.org/officeDocument/2006/relationships/hyperlink" Target="audio/2026-09-21_4f629181_Susan_Q17.wav" TargetMode="External"/><Relationship Id="rId82" Type="http://schemas.openxmlformats.org/officeDocument/2006/relationships/hyperlink" Target="audio/2026-09-21_7db59ab6_Ednah_Q08.wav" TargetMode="External"/><Relationship Id="rId83" Type="http://schemas.openxmlformats.org/officeDocument/2006/relationships/hyperlink" Target="audio/2026-09-21_7db59ab6_Ednah_Q09.wav" TargetMode="External"/><Relationship Id="rId84" Type="http://schemas.openxmlformats.org/officeDocument/2006/relationships/hyperlink" Target="audio/2026-09-21_7db59ab6_Ednah_Q10.wav" TargetMode="External"/><Relationship Id="rId85" Type="http://schemas.openxmlformats.org/officeDocument/2006/relationships/hyperlink" Target="audio/2026-09-21_7db59ab6_Ednah_Q11.wav" TargetMode="External"/><Relationship Id="rId86" Type="http://schemas.openxmlformats.org/officeDocument/2006/relationships/hyperlink" Target="audio/2026-09-21_7db59ab6_Ednah_Q12.wav" TargetMode="External"/><Relationship Id="rId87" Type="http://schemas.openxmlformats.org/officeDocument/2006/relationships/hyperlink" Target="audio/2026-09-21_7db59ab6_Ednah_Q13.wav" TargetMode="External"/><Relationship Id="rId88" Type="http://schemas.openxmlformats.org/officeDocument/2006/relationships/hyperlink" Target="audio/2026-09-21_7db59ab6_Ednah_Q14.wav" TargetMode="External"/><Relationship Id="rId89" Type="http://schemas.openxmlformats.org/officeDocument/2006/relationships/hyperlink" Target="audio/2026-09-21_7db59ab6_Ednah_Q15.wav" TargetMode="External"/><Relationship Id="rId90" Type="http://schemas.openxmlformats.org/officeDocument/2006/relationships/hyperlink" Target="audio/2026-09-21_7db59ab6_Ednah_Q16.wav" TargetMode="External"/><Relationship Id="rId91" Type="http://schemas.openxmlformats.org/officeDocument/2006/relationships/hyperlink" Target="audio/2026-09-21_7db59ab6_Ednah_Q17.wav" TargetMode="External"/><Relationship Id="rId92" Type="http://schemas.openxmlformats.org/officeDocument/2006/relationships/hyperlink" Target="audio/2026-09-17_46ec4547_Victor_Q08.wav" TargetMode="External"/><Relationship Id="rId93" Type="http://schemas.openxmlformats.org/officeDocument/2006/relationships/hyperlink" Target="audio/2026-09-17_46ec4547_Victor_Q09.wav" TargetMode="External"/><Relationship Id="rId94" Type="http://schemas.openxmlformats.org/officeDocument/2006/relationships/hyperlink" Target="audio/2026-09-17_46ec4547_Victor_Q10.wav" TargetMode="External"/><Relationship Id="rId95" Type="http://schemas.openxmlformats.org/officeDocument/2006/relationships/hyperlink" Target="audio/2026-09-17_46ec4547_Victor_Q11.wav" TargetMode="External"/><Relationship Id="rId96" Type="http://schemas.openxmlformats.org/officeDocument/2006/relationships/hyperlink" Target="audio/2026-09-17_46ec4547_Victor_Q12.wav" TargetMode="External"/><Relationship Id="rId97" Type="http://schemas.openxmlformats.org/officeDocument/2006/relationships/hyperlink" Target="audio/2026-09-17_46ec4547_Victor_Q13.wav" TargetMode="External"/><Relationship Id="rId98" Type="http://schemas.openxmlformats.org/officeDocument/2006/relationships/hyperlink" Target="audio/2026-09-17_46ec4547_Victor_Q14.wav" TargetMode="External"/><Relationship Id="rId99" Type="http://schemas.openxmlformats.org/officeDocument/2006/relationships/hyperlink" Target="audio/2026-09-17_46ec4547_Victor_Q15.wav" TargetMode="External"/><Relationship Id="rId100" Type="http://schemas.openxmlformats.org/officeDocument/2006/relationships/hyperlink" Target="audio/2026-09-17_46ec4547_Victor_Q16.wav" TargetMode="External"/><Relationship Id="rId101" Type="http://schemas.openxmlformats.org/officeDocument/2006/relationships/hyperlink" Target="audio/2026-09-17_46ec4547_Victor_Q17.wav" TargetMode="External"/><Relationship Id="rId102" Type="http://schemas.openxmlformats.org/officeDocument/2006/relationships/hyperlink" Target="audio/2026-09-21_4f629181_Susan_Q08.wav" TargetMode="External"/><Relationship Id="rId103" Type="http://schemas.openxmlformats.org/officeDocument/2006/relationships/hyperlink" Target="audio/2026-09-21_4f629181_Susan_Q09.wav" TargetMode="External"/><Relationship Id="rId104" Type="http://schemas.openxmlformats.org/officeDocument/2006/relationships/hyperlink" Target="audio/2026-09-21_4f629181_Susan_Q10.wav" TargetMode="External"/><Relationship Id="rId105" Type="http://schemas.openxmlformats.org/officeDocument/2006/relationships/hyperlink" Target="audio/2026-09-21_4f629181_Susan_Q11.wav" TargetMode="External"/><Relationship Id="rId106" Type="http://schemas.openxmlformats.org/officeDocument/2006/relationships/hyperlink" Target="audio/2026-09-21_4f629181_Susan_Q12.wav" TargetMode="External"/><Relationship Id="rId107" Type="http://schemas.openxmlformats.org/officeDocument/2006/relationships/hyperlink" Target="audio/2026-09-21_4f629181_Susan_Q13.wav" TargetMode="External"/><Relationship Id="rId108" Type="http://schemas.openxmlformats.org/officeDocument/2006/relationships/hyperlink" Target="audio/2026-09-21_4f629181_Susan_Q14.wav" TargetMode="External"/><Relationship Id="rId109" Type="http://schemas.openxmlformats.org/officeDocument/2006/relationships/hyperlink" Target="audio/2026-09-21_4f629181_Susan_Q15.wav" TargetMode="External"/><Relationship Id="rId110" Type="http://schemas.openxmlformats.org/officeDocument/2006/relationships/hyperlink" Target="audio/2026-09-21_4f629181_Susan_Q16.wav" TargetMode="External"/><Relationship Id="rId111" Type="http://schemas.openxmlformats.org/officeDocument/2006/relationships/hyperlink" Target="audio/2026-09-21_4f629181_Susan_Q17.wav" TargetMode="External"/><Relationship Id="rId112" Type="http://schemas.openxmlformats.org/officeDocument/2006/relationships/hyperlink" Target="audio/2026-09-21_7db59ab6_Ednah_Q08.wav" TargetMode="External"/><Relationship Id="rId113" Type="http://schemas.openxmlformats.org/officeDocument/2006/relationships/hyperlink" Target="audio/2026-09-21_7db59ab6_Ednah_Q09.wav" TargetMode="External"/><Relationship Id="rId114" Type="http://schemas.openxmlformats.org/officeDocument/2006/relationships/hyperlink" Target="audio/2026-09-21_7db59ab6_Ednah_Q10.wav" TargetMode="External"/><Relationship Id="rId115" Type="http://schemas.openxmlformats.org/officeDocument/2006/relationships/hyperlink" Target="audio/2026-09-21_7db59ab6_Ednah_Q11.wav" TargetMode="External"/><Relationship Id="rId116" Type="http://schemas.openxmlformats.org/officeDocument/2006/relationships/hyperlink" Target="audio/2026-09-21_7db59ab6_Ednah_Q12.wav" TargetMode="External"/><Relationship Id="rId117" Type="http://schemas.openxmlformats.org/officeDocument/2006/relationships/hyperlink" Target="audio/2026-09-21_7db59ab6_Ednah_Q13.wav" TargetMode="External"/><Relationship Id="rId118" Type="http://schemas.openxmlformats.org/officeDocument/2006/relationships/hyperlink" Target="audio/2026-09-21_7db59ab6_Ednah_Q14.wav" TargetMode="External"/><Relationship Id="rId119" Type="http://schemas.openxmlformats.org/officeDocument/2006/relationships/hyperlink" Target="audio/2026-09-21_7db59ab6_Ednah_Q15.wav" TargetMode="External"/><Relationship Id="rId120" Type="http://schemas.openxmlformats.org/officeDocument/2006/relationships/hyperlink" Target="audio/2026-09-21_7db59ab6_Ednah_Q16.wav" TargetMode="External"/><Relationship Id="rId121" Type="http://schemas.openxmlformats.org/officeDocument/2006/relationships/hyperlink" Target="audio/2026-09-21_7db59ab6_Ednah_Q17.wav" TargetMode="External"/><Relationship Id="rId122" Type="http://schemas.openxmlformats.org/officeDocument/2006/relationships/hyperlink" Target="audio/2026-09-17_46ec4547_Victor_Q08.wav" TargetMode="External"/><Relationship Id="rId123" Type="http://schemas.openxmlformats.org/officeDocument/2006/relationships/hyperlink" Target="audio/2026-09-17_46ec4547_Victor_Q09.wav" TargetMode="External"/><Relationship Id="rId124" Type="http://schemas.openxmlformats.org/officeDocument/2006/relationships/hyperlink" Target="audio/2026-09-17_46ec4547_Victor_Q10.wav" TargetMode="External"/><Relationship Id="rId125" Type="http://schemas.openxmlformats.org/officeDocument/2006/relationships/hyperlink" Target="audio/2026-09-17_46ec4547_Victor_Q11.wav" TargetMode="External"/><Relationship Id="rId126" Type="http://schemas.openxmlformats.org/officeDocument/2006/relationships/hyperlink" Target="audio/2026-09-17_46ec4547_Victor_Q12.wav" TargetMode="External"/><Relationship Id="rId127" Type="http://schemas.openxmlformats.org/officeDocument/2006/relationships/hyperlink" Target="audio/2026-09-17_46ec4547_Victor_Q13.wav" TargetMode="External"/><Relationship Id="rId128" Type="http://schemas.openxmlformats.org/officeDocument/2006/relationships/hyperlink" Target="audio/2026-09-17_46ec4547_Victor_Q14.wav" TargetMode="External"/><Relationship Id="rId129" Type="http://schemas.openxmlformats.org/officeDocument/2006/relationships/hyperlink" Target="audio/2026-09-17_46ec4547_Victor_Q15.wav" TargetMode="External"/><Relationship Id="rId130" Type="http://schemas.openxmlformats.org/officeDocument/2006/relationships/hyperlink" Target="audio/2026-09-17_46ec4547_Victor_Q16.wav" TargetMode="External"/><Relationship Id="rId131" Type="http://schemas.openxmlformats.org/officeDocument/2006/relationships/hyperlink" Target="audio/2026-09-17_46ec4547_Victor_Q17.wav" TargetMode="External"/><Relationship Id="rId132" Type="http://schemas.openxmlformats.org/officeDocument/2006/relationships/hyperlink" Target="audio/2026-09-21_4f629181_Susan_Q08.wav" TargetMode="External"/><Relationship Id="rId133" Type="http://schemas.openxmlformats.org/officeDocument/2006/relationships/hyperlink" Target="audio/2026-09-21_4f629181_Susan_Q09.wav" TargetMode="External"/><Relationship Id="rId134" Type="http://schemas.openxmlformats.org/officeDocument/2006/relationships/hyperlink" Target="audio/2026-09-21_4f629181_Susan_Q10.wav" TargetMode="External"/><Relationship Id="rId135" Type="http://schemas.openxmlformats.org/officeDocument/2006/relationships/hyperlink" Target="audio/2026-09-21_4f629181_Susan_Q11.wav" TargetMode="External"/><Relationship Id="rId136" Type="http://schemas.openxmlformats.org/officeDocument/2006/relationships/hyperlink" Target="audio/2026-09-21_4f629181_Susan_Q12.wav" TargetMode="External"/><Relationship Id="rId137" Type="http://schemas.openxmlformats.org/officeDocument/2006/relationships/hyperlink" Target="audio/2026-09-21_4f629181_Susan_Q13.wav" TargetMode="External"/><Relationship Id="rId138" Type="http://schemas.openxmlformats.org/officeDocument/2006/relationships/hyperlink" Target="audio/2026-09-21_4f629181_Susan_Q14.wav" TargetMode="External"/><Relationship Id="rId139" Type="http://schemas.openxmlformats.org/officeDocument/2006/relationships/hyperlink" Target="audio/2026-09-21_4f629181_Susan_Q15.wav" TargetMode="External"/><Relationship Id="rId140" Type="http://schemas.openxmlformats.org/officeDocument/2006/relationships/hyperlink" Target="audio/2026-09-21_4f629181_Susan_Q16.wav" TargetMode="External"/><Relationship Id="rId141" Type="http://schemas.openxmlformats.org/officeDocument/2006/relationships/hyperlink" Target="audio/2026-09-21_4f629181_Susan_Q17.wav" TargetMode="External"/><Relationship Id="rId142" Type="http://schemas.openxmlformats.org/officeDocument/2006/relationships/hyperlink" Target="audio/2026-09-21_7db59ab6_Ednah_Q08.wav" TargetMode="External"/><Relationship Id="rId143" Type="http://schemas.openxmlformats.org/officeDocument/2006/relationships/hyperlink" Target="audio/2026-09-21_7db59ab6_Ednah_Q09.wav" TargetMode="External"/><Relationship Id="rId144" Type="http://schemas.openxmlformats.org/officeDocument/2006/relationships/hyperlink" Target="audio/2026-09-21_7db59ab6_Ednah_Q10.wav" TargetMode="External"/><Relationship Id="rId145" Type="http://schemas.openxmlformats.org/officeDocument/2006/relationships/hyperlink" Target="audio/2026-09-21_7db59ab6_Ednah_Q11.wav" TargetMode="External"/><Relationship Id="rId146" Type="http://schemas.openxmlformats.org/officeDocument/2006/relationships/hyperlink" Target="audio/2026-09-21_7db59ab6_Ednah_Q12.wav" TargetMode="External"/><Relationship Id="rId147" Type="http://schemas.openxmlformats.org/officeDocument/2006/relationships/hyperlink" Target="audio/2026-09-21_7db59ab6_Ednah_Q13.wav" TargetMode="External"/><Relationship Id="rId148" Type="http://schemas.openxmlformats.org/officeDocument/2006/relationships/hyperlink" Target="audio/2026-09-21_7db59ab6_Ednah_Q14.wav" TargetMode="External"/><Relationship Id="rId149" Type="http://schemas.openxmlformats.org/officeDocument/2006/relationships/hyperlink" Target="audio/2026-09-21_7db59ab6_Ednah_Q15.wav" TargetMode="External"/><Relationship Id="rId150" Type="http://schemas.openxmlformats.org/officeDocument/2006/relationships/hyperlink" Target="audio/2026-09-21_7db59ab6_Ednah_Q16.wav" TargetMode="External"/><Relationship Id="rId151" Type="http://schemas.openxmlformats.org/officeDocument/2006/relationships/hyperlink" Target="audio/2026-09-21_7db59ab6_Ednah_Q17.wav" TargetMode="External"/><Relationship Id="rId152" Type="http://schemas.openxmlformats.org/officeDocument/2006/relationships/hyperlink" Target="audio/2026-09-17_46ec4547_Victor_Q08.wav" TargetMode="External"/><Relationship Id="rId153" Type="http://schemas.openxmlformats.org/officeDocument/2006/relationships/hyperlink" Target="audio/2026-09-17_46ec4547_Victor_Q09.wav" TargetMode="External"/><Relationship Id="rId154" Type="http://schemas.openxmlformats.org/officeDocument/2006/relationships/hyperlink" Target="audio/2026-09-17_46ec4547_Victor_Q10.wav" TargetMode="External"/><Relationship Id="rId155" Type="http://schemas.openxmlformats.org/officeDocument/2006/relationships/hyperlink" Target="audio/2026-09-17_46ec4547_Victor_Q11.wav" TargetMode="External"/><Relationship Id="rId156" Type="http://schemas.openxmlformats.org/officeDocument/2006/relationships/hyperlink" Target="audio/2026-09-17_46ec4547_Victor_Q12.wav" TargetMode="External"/><Relationship Id="rId157" Type="http://schemas.openxmlformats.org/officeDocument/2006/relationships/hyperlink" Target="audio/2026-09-17_46ec4547_Victor_Q13.wav" TargetMode="External"/><Relationship Id="rId158" Type="http://schemas.openxmlformats.org/officeDocument/2006/relationships/hyperlink" Target="audio/2026-09-17_46ec4547_Victor_Q14.wav" TargetMode="External"/><Relationship Id="rId159" Type="http://schemas.openxmlformats.org/officeDocument/2006/relationships/hyperlink" Target="audio/2026-09-17_46ec4547_Victor_Q15.wav" TargetMode="External"/><Relationship Id="rId160" Type="http://schemas.openxmlformats.org/officeDocument/2006/relationships/hyperlink" Target="audio/2026-09-17_46ec4547_Victor_Q16.wav" TargetMode="External"/><Relationship Id="rId161" Type="http://schemas.openxmlformats.org/officeDocument/2006/relationships/hyperlink" Target="audio/2026-09-17_46ec4547_Victor_Q17.wav" TargetMode="External"/><Relationship Id="rId162" Type="http://schemas.openxmlformats.org/officeDocument/2006/relationships/hyperlink" Target="audio/2026-09-21_4f629181_Susan_Q08.wav" TargetMode="External"/><Relationship Id="rId163" Type="http://schemas.openxmlformats.org/officeDocument/2006/relationships/hyperlink" Target="audio/2026-09-21_4f629181_Susan_Q09.wav" TargetMode="External"/><Relationship Id="rId164" Type="http://schemas.openxmlformats.org/officeDocument/2006/relationships/hyperlink" Target="audio/2026-09-21_4f629181_Susan_Q10.wav" TargetMode="External"/><Relationship Id="rId165" Type="http://schemas.openxmlformats.org/officeDocument/2006/relationships/hyperlink" Target="audio/2026-09-21_4f629181_Susan_Q11.wav" TargetMode="External"/><Relationship Id="rId166" Type="http://schemas.openxmlformats.org/officeDocument/2006/relationships/hyperlink" Target="audio/2026-09-21_4f629181_Susan_Q12.wav" TargetMode="External"/><Relationship Id="rId167" Type="http://schemas.openxmlformats.org/officeDocument/2006/relationships/hyperlink" Target="audio/2026-09-21_4f629181_Susan_Q13.wav" TargetMode="External"/><Relationship Id="rId168" Type="http://schemas.openxmlformats.org/officeDocument/2006/relationships/hyperlink" Target="audio/2026-09-21_4f629181_Susan_Q14.wav" TargetMode="External"/><Relationship Id="rId169" Type="http://schemas.openxmlformats.org/officeDocument/2006/relationships/hyperlink" Target="audio/2026-09-21_4f629181_Susan_Q15.wav" TargetMode="External"/><Relationship Id="rId170" Type="http://schemas.openxmlformats.org/officeDocument/2006/relationships/hyperlink" Target="audio/2026-09-21_4f629181_Susan_Q16.wav" TargetMode="External"/><Relationship Id="rId171" Type="http://schemas.openxmlformats.org/officeDocument/2006/relationships/hyperlink" Target="audio/2026-09-21_4f629181_Susan_Q17.wav" TargetMode="External"/><Relationship Id="rId172" Type="http://schemas.openxmlformats.org/officeDocument/2006/relationships/hyperlink" Target="audio/2026-09-21_7db59ab6_Ednah_Q08.wav" TargetMode="External"/><Relationship Id="rId173" Type="http://schemas.openxmlformats.org/officeDocument/2006/relationships/hyperlink" Target="audio/2026-09-21_7db59ab6_Ednah_Q09.wav" TargetMode="External"/><Relationship Id="rId174" Type="http://schemas.openxmlformats.org/officeDocument/2006/relationships/hyperlink" Target="audio/2026-09-21_7db59ab6_Ednah_Q10.wav" TargetMode="External"/><Relationship Id="rId175" Type="http://schemas.openxmlformats.org/officeDocument/2006/relationships/hyperlink" Target="audio/2026-09-21_7db59ab6_Ednah_Q11.wav" TargetMode="External"/><Relationship Id="rId176" Type="http://schemas.openxmlformats.org/officeDocument/2006/relationships/hyperlink" Target="audio/2026-09-21_7db59ab6_Ednah_Q12.wav" TargetMode="External"/><Relationship Id="rId177" Type="http://schemas.openxmlformats.org/officeDocument/2006/relationships/hyperlink" Target="audio/2026-09-21_7db59ab6_Ednah_Q13.wav" TargetMode="External"/><Relationship Id="rId178" Type="http://schemas.openxmlformats.org/officeDocument/2006/relationships/hyperlink" Target="audio/2026-09-21_7db59ab6_Ednah_Q14.wav" TargetMode="External"/><Relationship Id="rId179" Type="http://schemas.openxmlformats.org/officeDocument/2006/relationships/hyperlink" Target="audio/2026-09-21_7db59ab6_Ednah_Q15.wav" TargetMode="External"/><Relationship Id="rId180" Type="http://schemas.openxmlformats.org/officeDocument/2006/relationships/hyperlink" Target="audio/2026-09-21_7db59ab6_Ednah_Q16.wav" TargetMode="External"/><Relationship Id="rId181" Type="http://schemas.openxmlformats.org/officeDocument/2006/relationships/hyperlink" Target="audio/2026-09-21_7db59ab6_Ednah_Q17.wav" TargetMode="External"/><Relationship Id="rId182" Type="http://schemas.openxmlformats.org/officeDocument/2006/relationships/hyperlink" Target="audio/2026-09-17_46ec4547_Victor_Q08.wav" TargetMode="External"/><Relationship Id="rId183" Type="http://schemas.openxmlformats.org/officeDocument/2006/relationships/hyperlink" Target="audio/2026-09-17_46ec4547_Victor_Q09.wav" TargetMode="External"/><Relationship Id="rId184" Type="http://schemas.openxmlformats.org/officeDocument/2006/relationships/hyperlink" Target="audio/2026-09-17_46ec4547_Victor_Q10.wav" TargetMode="External"/><Relationship Id="rId185" Type="http://schemas.openxmlformats.org/officeDocument/2006/relationships/hyperlink" Target="audio/2026-09-17_46ec4547_Victor_Q11.wav" TargetMode="External"/><Relationship Id="rId186" Type="http://schemas.openxmlformats.org/officeDocument/2006/relationships/hyperlink" Target="audio/2026-09-17_46ec4547_Victor_Q12.wav" TargetMode="External"/><Relationship Id="rId187" Type="http://schemas.openxmlformats.org/officeDocument/2006/relationships/hyperlink" Target="audio/2026-09-17_46ec4547_Victor_Q13.wav" TargetMode="External"/><Relationship Id="rId188" Type="http://schemas.openxmlformats.org/officeDocument/2006/relationships/hyperlink" Target="audio/2026-09-17_46ec4547_Victor_Q14.wav" TargetMode="External"/><Relationship Id="rId189" Type="http://schemas.openxmlformats.org/officeDocument/2006/relationships/hyperlink" Target="audio/2026-09-17_46ec4547_Victor_Q15.wav" TargetMode="External"/><Relationship Id="rId190" Type="http://schemas.openxmlformats.org/officeDocument/2006/relationships/hyperlink" Target="audio/2026-09-17_46ec4547_Victor_Q16.wav" TargetMode="External"/><Relationship Id="rId191" Type="http://schemas.openxmlformats.org/officeDocument/2006/relationships/hyperlink" Target="audio/2026-09-17_46ec4547_Victor_Q17.wav" TargetMode="External"/><Relationship Id="rId192" Type="http://schemas.openxmlformats.org/officeDocument/2006/relationships/hyperlink" Target="audio/2026-09-21_4f629181_Susan_Q08.wav" TargetMode="External"/><Relationship Id="rId193" Type="http://schemas.openxmlformats.org/officeDocument/2006/relationships/hyperlink" Target="audio/2026-09-21_4f629181_Susan_Q09.wav" TargetMode="External"/><Relationship Id="rId194" Type="http://schemas.openxmlformats.org/officeDocument/2006/relationships/hyperlink" Target="audio/2026-09-21_4f629181_Susan_Q10.wav" TargetMode="External"/><Relationship Id="rId195" Type="http://schemas.openxmlformats.org/officeDocument/2006/relationships/hyperlink" Target="audio/2026-09-21_4f629181_Susan_Q11.wav" TargetMode="External"/><Relationship Id="rId196" Type="http://schemas.openxmlformats.org/officeDocument/2006/relationships/hyperlink" Target="audio/2026-09-21_4f629181_Susan_Q12.wav" TargetMode="External"/><Relationship Id="rId197" Type="http://schemas.openxmlformats.org/officeDocument/2006/relationships/hyperlink" Target="audio/2026-09-21_4f629181_Susan_Q13.wav" TargetMode="External"/><Relationship Id="rId198" Type="http://schemas.openxmlformats.org/officeDocument/2006/relationships/hyperlink" Target="audio/2026-09-21_4f629181_Susan_Q14.wav" TargetMode="External"/><Relationship Id="rId199" Type="http://schemas.openxmlformats.org/officeDocument/2006/relationships/hyperlink" Target="audio/2026-09-21_4f629181_Susan_Q15.wav" TargetMode="External"/><Relationship Id="rId200" Type="http://schemas.openxmlformats.org/officeDocument/2006/relationships/hyperlink" Target="audio/2026-09-21_4f629181_Susan_Q16.wav" TargetMode="External"/><Relationship Id="rId201" Type="http://schemas.openxmlformats.org/officeDocument/2006/relationships/hyperlink" Target="audio/2026-09-21_4f629181_Susan_Q17.wav" TargetMode="External"/><Relationship Id="rId202" Type="http://schemas.openxmlformats.org/officeDocument/2006/relationships/hyperlink" Target="audio/2026-09-21_7db59ab6_Ednah_Q08.wav" TargetMode="External"/><Relationship Id="rId203" Type="http://schemas.openxmlformats.org/officeDocument/2006/relationships/hyperlink" Target="audio/2026-09-21_7db59ab6_Ednah_Q09.wav" TargetMode="External"/><Relationship Id="rId204" Type="http://schemas.openxmlformats.org/officeDocument/2006/relationships/hyperlink" Target="audio/2026-09-21_7db59ab6_Ednah_Q10.wav" TargetMode="External"/><Relationship Id="rId205" Type="http://schemas.openxmlformats.org/officeDocument/2006/relationships/hyperlink" Target="audio/2026-09-21_7db59ab6_Ednah_Q11.wav" TargetMode="External"/><Relationship Id="rId206" Type="http://schemas.openxmlformats.org/officeDocument/2006/relationships/hyperlink" Target="audio/2026-09-21_7db59ab6_Ednah_Q12.wav" TargetMode="External"/><Relationship Id="rId207" Type="http://schemas.openxmlformats.org/officeDocument/2006/relationships/hyperlink" Target="audio/2026-09-21_7db59ab6_Ednah_Q13.wav" TargetMode="External"/><Relationship Id="rId208" Type="http://schemas.openxmlformats.org/officeDocument/2006/relationships/hyperlink" Target="audio/2026-09-21_7db59ab6_Ednah_Q14.wav" TargetMode="External"/><Relationship Id="rId209" Type="http://schemas.openxmlformats.org/officeDocument/2006/relationships/hyperlink" Target="audio/2026-09-21_7db59ab6_Ednah_Q15.wav" TargetMode="External"/><Relationship Id="rId210" Type="http://schemas.openxmlformats.org/officeDocument/2006/relationships/hyperlink" Target="audio/2026-09-21_7db59ab6_Ednah_Q16.wav" TargetMode="External"/><Relationship Id="rId211" Type="http://schemas.openxmlformats.org/officeDocument/2006/relationships/hyperlink" Target="audio/2026-09-21_7db59ab6_Ednah_Q17.wav" TargetMode="External"/><Relationship Id="rId212" Type="http://schemas.openxmlformats.org/officeDocument/2006/relationships/hyperlink" Target="audio/2026-09-17_46ec4547_Victor_Q08.wav" TargetMode="External"/><Relationship Id="rId213" Type="http://schemas.openxmlformats.org/officeDocument/2006/relationships/hyperlink" Target="audio/2026-09-17_46ec4547_Victor_Q09.wav" TargetMode="External"/><Relationship Id="rId214" Type="http://schemas.openxmlformats.org/officeDocument/2006/relationships/hyperlink" Target="audio/2026-09-17_46ec4547_Victor_Q10.wav" TargetMode="External"/><Relationship Id="rId215" Type="http://schemas.openxmlformats.org/officeDocument/2006/relationships/hyperlink" Target="audio/2026-09-17_46ec4547_Victor_Q11.wav" TargetMode="External"/><Relationship Id="rId216" Type="http://schemas.openxmlformats.org/officeDocument/2006/relationships/hyperlink" Target="audio/2026-09-17_46ec4547_Victor_Q12.wav" TargetMode="External"/><Relationship Id="rId217" Type="http://schemas.openxmlformats.org/officeDocument/2006/relationships/hyperlink" Target="audio/2026-09-17_46ec4547_Victor_Q13.wav" TargetMode="External"/><Relationship Id="rId218" Type="http://schemas.openxmlformats.org/officeDocument/2006/relationships/hyperlink" Target="audio/2026-09-17_46ec4547_Victor_Q14.wav" TargetMode="External"/><Relationship Id="rId219" Type="http://schemas.openxmlformats.org/officeDocument/2006/relationships/hyperlink" Target="audio/2026-09-17_46ec4547_Victor_Q15.wav" TargetMode="External"/><Relationship Id="rId220" Type="http://schemas.openxmlformats.org/officeDocument/2006/relationships/hyperlink" Target="audio/2026-09-17_46ec4547_Victor_Q16.wav" TargetMode="External"/><Relationship Id="rId221" Type="http://schemas.openxmlformats.org/officeDocument/2006/relationships/hyperlink" Target="audio/2026-09-17_46ec4547_Victor_Q17.wav" TargetMode="External"/><Relationship Id="rId222" Type="http://schemas.openxmlformats.org/officeDocument/2006/relationships/hyperlink" Target="audio/2026-09-21_4f629181_Susan_Q08.wav" TargetMode="External"/><Relationship Id="rId223" Type="http://schemas.openxmlformats.org/officeDocument/2006/relationships/hyperlink" Target="audio/2026-09-21_4f629181_Susan_Q09.wav" TargetMode="External"/><Relationship Id="rId224" Type="http://schemas.openxmlformats.org/officeDocument/2006/relationships/hyperlink" Target="audio/2026-09-21_4f629181_Susan_Q10.wav" TargetMode="External"/><Relationship Id="rId225" Type="http://schemas.openxmlformats.org/officeDocument/2006/relationships/hyperlink" Target="audio/2026-09-21_4f629181_Susan_Q11.wav" TargetMode="External"/><Relationship Id="rId226" Type="http://schemas.openxmlformats.org/officeDocument/2006/relationships/hyperlink" Target="audio/2026-09-21_4f629181_Susan_Q12.wav" TargetMode="External"/><Relationship Id="rId227" Type="http://schemas.openxmlformats.org/officeDocument/2006/relationships/hyperlink" Target="audio/2026-09-21_4f629181_Susan_Q13.wav" TargetMode="External"/><Relationship Id="rId228" Type="http://schemas.openxmlformats.org/officeDocument/2006/relationships/hyperlink" Target="audio/2026-09-21_4f629181_Susan_Q14.wav" TargetMode="External"/><Relationship Id="rId229" Type="http://schemas.openxmlformats.org/officeDocument/2006/relationships/hyperlink" Target="audio/2026-09-21_4f629181_Susan_Q15.wav" TargetMode="External"/><Relationship Id="rId230" Type="http://schemas.openxmlformats.org/officeDocument/2006/relationships/hyperlink" Target="audio/2026-09-21_4f629181_Susan_Q16.wav" TargetMode="External"/><Relationship Id="rId231" Type="http://schemas.openxmlformats.org/officeDocument/2006/relationships/hyperlink" Target="audio/2026-09-21_4f629181_Susan_Q17.wav" TargetMode="External"/><Relationship Id="rId232" Type="http://schemas.openxmlformats.org/officeDocument/2006/relationships/hyperlink" Target="audio/2026-09-21_7db59ab6_Ednah_Q08.wav" TargetMode="External"/><Relationship Id="rId233" Type="http://schemas.openxmlformats.org/officeDocument/2006/relationships/hyperlink" Target="audio/2026-09-21_7db59ab6_Ednah_Q09.wav" TargetMode="External"/><Relationship Id="rId234" Type="http://schemas.openxmlformats.org/officeDocument/2006/relationships/hyperlink" Target="audio/2026-09-21_7db59ab6_Ednah_Q10.wav" TargetMode="External"/><Relationship Id="rId235" Type="http://schemas.openxmlformats.org/officeDocument/2006/relationships/hyperlink" Target="audio/2026-09-21_7db59ab6_Ednah_Q11.wav" TargetMode="External"/><Relationship Id="rId236" Type="http://schemas.openxmlformats.org/officeDocument/2006/relationships/hyperlink" Target="audio/2026-09-21_7db59ab6_Ednah_Q12.wav" TargetMode="External"/><Relationship Id="rId237" Type="http://schemas.openxmlformats.org/officeDocument/2006/relationships/hyperlink" Target="audio/2026-09-21_7db59ab6_Ednah_Q13.wav" TargetMode="External"/><Relationship Id="rId238" Type="http://schemas.openxmlformats.org/officeDocument/2006/relationships/hyperlink" Target="audio/2026-09-21_7db59ab6_Ednah_Q14.wav" TargetMode="External"/><Relationship Id="rId239" Type="http://schemas.openxmlformats.org/officeDocument/2006/relationships/hyperlink" Target="audio/2026-09-21_7db59ab6_Ednah_Q15.wav" TargetMode="External"/><Relationship Id="rId240" Type="http://schemas.openxmlformats.org/officeDocument/2006/relationships/hyperlink" Target="audio/2026-09-21_7db59ab6_Ednah_Q16.wav" TargetMode="External"/><Relationship Id="rId241" Type="http://schemas.openxmlformats.org/officeDocument/2006/relationships/hyperlink" Target="audio/2026-09-21_7db59ab6_Ednah_Q17.wav" TargetMode="External"/><Relationship Id="rId242" Type="http://schemas.openxmlformats.org/officeDocument/2006/relationships/hyperlink" Target="audio/2026-09-17_46ec4547_Victor_Q08.wav" TargetMode="External"/><Relationship Id="rId243" Type="http://schemas.openxmlformats.org/officeDocument/2006/relationships/hyperlink" Target="audio/2026-09-17_46ec4547_Victor_Q09.wav" TargetMode="External"/><Relationship Id="rId244" Type="http://schemas.openxmlformats.org/officeDocument/2006/relationships/hyperlink" Target="audio/2026-09-17_46ec4547_Victor_Q10.wav" TargetMode="External"/><Relationship Id="rId245" Type="http://schemas.openxmlformats.org/officeDocument/2006/relationships/hyperlink" Target="audio/2026-09-17_46ec4547_Victor_Q11.wav" TargetMode="External"/><Relationship Id="rId246" Type="http://schemas.openxmlformats.org/officeDocument/2006/relationships/hyperlink" Target="audio/2026-09-17_46ec4547_Victor_Q12.wav" TargetMode="External"/><Relationship Id="rId247" Type="http://schemas.openxmlformats.org/officeDocument/2006/relationships/hyperlink" Target="audio/2026-09-17_46ec4547_Victor_Q13.wav" TargetMode="External"/><Relationship Id="rId248" Type="http://schemas.openxmlformats.org/officeDocument/2006/relationships/hyperlink" Target="audio/2026-09-17_46ec4547_Victor_Q14.wav" TargetMode="External"/><Relationship Id="rId249" Type="http://schemas.openxmlformats.org/officeDocument/2006/relationships/hyperlink" Target="audio/2026-09-17_46ec4547_Victor_Q15.wav" TargetMode="External"/><Relationship Id="rId250" Type="http://schemas.openxmlformats.org/officeDocument/2006/relationships/hyperlink" Target="audio/2026-09-17_46ec4547_Victor_Q16.wav" TargetMode="External"/><Relationship Id="rId251" Type="http://schemas.openxmlformats.org/officeDocument/2006/relationships/hyperlink" Target="audio/2026-09-17_46ec4547_Victor_Q17.wav" TargetMode="External"/><Relationship Id="rId252" Type="http://schemas.openxmlformats.org/officeDocument/2006/relationships/hyperlink" Target="audio/2026-09-21_4f629181_Susan_Q08.wav" TargetMode="External"/><Relationship Id="rId253" Type="http://schemas.openxmlformats.org/officeDocument/2006/relationships/hyperlink" Target="audio/2026-09-21_4f629181_Susan_Q09.wav" TargetMode="External"/><Relationship Id="rId254" Type="http://schemas.openxmlformats.org/officeDocument/2006/relationships/hyperlink" Target="audio/2026-09-21_4f629181_Susan_Q10.wav" TargetMode="External"/><Relationship Id="rId255" Type="http://schemas.openxmlformats.org/officeDocument/2006/relationships/hyperlink" Target="audio/2026-09-21_4f629181_Susan_Q11.wav" TargetMode="External"/><Relationship Id="rId256" Type="http://schemas.openxmlformats.org/officeDocument/2006/relationships/hyperlink" Target="audio/2026-09-21_4f629181_Susan_Q12.wav" TargetMode="External"/><Relationship Id="rId257" Type="http://schemas.openxmlformats.org/officeDocument/2006/relationships/hyperlink" Target="audio/2026-09-21_4f629181_Susan_Q13.wav" TargetMode="External"/><Relationship Id="rId258" Type="http://schemas.openxmlformats.org/officeDocument/2006/relationships/hyperlink" Target="audio/2026-09-21_4f629181_Susan_Q14.wav" TargetMode="External"/><Relationship Id="rId259" Type="http://schemas.openxmlformats.org/officeDocument/2006/relationships/hyperlink" Target="audio/2026-09-21_4f629181_Susan_Q15.wav" TargetMode="External"/><Relationship Id="rId260" Type="http://schemas.openxmlformats.org/officeDocument/2006/relationships/hyperlink" Target="audio/2026-09-21_4f629181_Susan_Q16.wav" TargetMode="External"/><Relationship Id="rId261" Type="http://schemas.openxmlformats.org/officeDocument/2006/relationships/hyperlink" Target="audio/2026-09-21_4f629181_Susan_Q17.wav" TargetMode="External"/><Relationship Id="rId262" Type="http://schemas.openxmlformats.org/officeDocument/2006/relationships/hyperlink" Target="audio/2026-09-21_7db59ab6_Ednah_Q08.wav" TargetMode="External"/><Relationship Id="rId263" Type="http://schemas.openxmlformats.org/officeDocument/2006/relationships/hyperlink" Target="audio/2026-09-21_7db59ab6_Ednah_Q09.wav" TargetMode="External"/><Relationship Id="rId264" Type="http://schemas.openxmlformats.org/officeDocument/2006/relationships/hyperlink" Target="audio/2026-09-21_7db59ab6_Ednah_Q10.wav" TargetMode="External"/><Relationship Id="rId265" Type="http://schemas.openxmlformats.org/officeDocument/2006/relationships/hyperlink" Target="audio/2026-09-21_7db59ab6_Ednah_Q11.wav" TargetMode="External"/><Relationship Id="rId266" Type="http://schemas.openxmlformats.org/officeDocument/2006/relationships/hyperlink" Target="audio/2026-09-21_7db59ab6_Ednah_Q12.wav" TargetMode="External"/><Relationship Id="rId267" Type="http://schemas.openxmlformats.org/officeDocument/2006/relationships/hyperlink" Target="audio/2026-09-21_7db59ab6_Ednah_Q13.wav" TargetMode="External"/><Relationship Id="rId268" Type="http://schemas.openxmlformats.org/officeDocument/2006/relationships/hyperlink" Target="audio/2026-09-21_7db59ab6_Ednah_Q14.wav" TargetMode="External"/><Relationship Id="rId269" Type="http://schemas.openxmlformats.org/officeDocument/2006/relationships/hyperlink" Target="audio/2026-09-21_7db59ab6_Ednah_Q15.wav" TargetMode="External"/><Relationship Id="rId270" Type="http://schemas.openxmlformats.org/officeDocument/2006/relationships/hyperlink" Target="audio/2026-09-21_7db59ab6_Ednah_Q16.wav" TargetMode="External"/><Relationship Id="rId271" Type="http://schemas.openxmlformats.org/officeDocument/2006/relationships/hyperlink" Target="audio/2026-09-21_7db59ab6_Ednah_Q17.wav" TargetMode="External"/><Relationship Id="rId272" Type="http://schemas.openxmlformats.org/officeDocument/2006/relationships/hyperlink" Target="audio/2026-09-17_46ec4547_Victor_Q08.wav" TargetMode="External"/><Relationship Id="rId273" Type="http://schemas.openxmlformats.org/officeDocument/2006/relationships/hyperlink" Target="audio/2026-09-17_46ec4547_Victor_Q09.wav" TargetMode="External"/><Relationship Id="rId274" Type="http://schemas.openxmlformats.org/officeDocument/2006/relationships/hyperlink" Target="audio/2026-09-17_46ec4547_Victor_Q10.wav" TargetMode="External"/><Relationship Id="rId275" Type="http://schemas.openxmlformats.org/officeDocument/2006/relationships/hyperlink" Target="audio/2026-09-17_46ec4547_Victor_Q11.wav" TargetMode="External"/><Relationship Id="rId276" Type="http://schemas.openxmlformats.org/officeDocument/2006/relationships/hyperlink" Target="audio/2026-09-17_46ec4547_Victor_Q12.wav" TargetMode="External"/><Relationship Id="rId277" Type="http://schemas.openxmlformats.org/officeDocument/2006/relationships/hyperlink" Target="audio/2026-09-17_46ec4547_Victor_Q13.wav" TargetMode="External"/><Relationship Id="rId278" Type="http://schemas.openxmlformats.org/officeDocument/2006/relationships/hyperlink" Target="audio/2026-09-17_46ec4547_Victor_Q14.wav" TargetMode="External"/><Relationship Id="rId279" Type="http://schemas.openxmlformats.org/officeDocument/2006/relationships/hyperlink" Target="audio/2026-09-17_46ec4547_Victor_Q15.wav" TargetMode="External"/><Relationship Id="rId280" Type="http://schemas.openxmlformats.org/officeDocument/2006/relationships/hyperlink" Target="audio/2026-09-17_46ec4547_Victor_Q16.wav" TargetMode="External"/><Relationship Id="rId281" Type="http://schemas.openxmlformats.org/officeDocument/2006/relationships/hyperlink" Target="audio/2026-09-17_46ec4547_Victor_Q17.wav" TargetMode="External"/><Relationship Id="rId282" Type="http://schemas.openxmlformats.org/officeDocument/2006/relationships/hyperlink" Target="audio/2026-09-21_4f629181_Susan_Q08.wav" TargetMode="External"/><Relationship Id="rId283" Type="http://schemas.openxmlformats.org/officeDocument/2006/relationships/hyperlink" Target="audio/2026-09-21_4f629181_Susan_Q09.wav" TargetMode="External"/><Relationship Id="rId284" Type="http://schemas.openxmlformats.org/officeDocument/2006/relationships/hyperlink" Target="audio/2026-09-21_4f629181_Susan_Q10.wav" TargetMode="External"/><Relationship Id="rId285" Type="http://schemas.openxmlformats.org/officeDocument/2006/relationships/hyperlink" Target="audio/2026-09-21_4f629181_Susan_Q11.wav" TargetMode="External"/><Relationship Id="rId286" Type="http://schemas.openxmlformats.org/officeDocument/2006/relationships/hyperlink" Target="audio/2026-09-21_4f629181_Susan_Q12.wav" TargetMode="External"/><Relationship Id="rId287" Type="http://schemas.openxmlformats.org/officeDocument/2006/relationships/hyperlink" Target="audio/2026-09-21_4f629181_Susan_Q13.wav" TargetMode="External"/><Relationship Id="rId288" Type="http://schemas.openxmlformats.org/officeDocument/2006/relationships/hyperlink" Target="audio/2026-09-21_4f629181_Susan_Q14.wav" TargetMode="External"/><Relationship Id="rId289" Type="http://schemas.openxmlformats.org/officeDocument/2006/relationships/hyperlink" Target="audio/2026-09-21_4f629181_Susan_Q15.wav" TargetMode="External"/><Relationship Id="rId290" Type="http://schemas.openxmlformats.org/officeDocument/2006/relationships/hyperlink" Target="audio/2026-09-21_4f629181_Susan_Q16.wav" TargetMode="External"/><Relationship Id="rId291" Type="http://schemas.openxmlformats.org/officeDocument/2006/relationships/hyperlink" Target="audio/2026-09-21_4f629181_Susan_Q17.wav" TargetMode="External"/><Relationship Id="rId292" Type="http://schemas.openxmlformats.org/officeDocument/2006/relationships/hyperlink" Target="audio/2026-09-21_7db59ab6_Ednah_Q08.wav" TargetMode="External"/><Relationship Id="rId293" Type="http://schemas.openxmlformats.org/officeDocument/2006/relationships/hyperlink" Target="audio/2026-09-21_7db59ab6_Ednah_Q09.wav" TargetMode="External"/><Relationship Id="rId294" Type="http://schemas.openxmlformats.org/officeDocument/2006/relationships/hyperlink" Target="audio/2026-09-21_7db59ab6_Ednah_Q10.wav" TargetMode="External"/><Relationship Id="rId295" Type="http://schemas.openxmlformats.org/officeDocument/2006/relationships/hyperlink" Target="audio/2026-09-21_7db59ab6_Ednah_Q11.wav" TargetMode="External"/><Relationship Id="rId296" Type="http://schemas.openxmlformats.org/officeDocument/2006/relationships/hyperlink" Target="audio/2026-09-21_7db59ab6_Ednah_Q12.wav" TargetMode="External"/><Relationship Id="rId297" Type="http://schemas.openxmlformats.org/officeDocument/2006/relationships/hyperlink" Target="audio/2026-09-21_7db59ab6_Ednah_Q13.wav" TargetMode="External"/><Relationship Id="rId298" Type="http://schemas.openxmlformats.org/officeDocument/2006/relationships/hyperlink" Target="audio/2026-09-21_7db59ab6_Ednah_Q14.wav" TargetMode="External"/><Relationship Id="rId299" Type="http://schemas.openxmlformats.org/officeDocument/2006/relationships/hyperlink" Target="audio/2026-09-21_7db59ab6_Ednah_Q15.wav" TargetMode="External"/><Relationship Id="rId300" Type="http://schemas.openxmlformats.org/officeDocument/2006/relationships/hyperlink" Target="audio/2026-09-21_7db59ab6_Ednah_Q16.wav" TargetMode="External"/><Relationship Id="rId301" Type="http://schemas.openxmlformats.org/officeDocument/2006/relationships/hyperlink" Target="audio/2026-09-21_7db59ab6_Ednah_Q17.wav" TargetMode="External"/><Relationship Id="rId302" Type="http://schemas.openxmlformats.org/officeDocument/2006/relationships/hyperlink" Target="audio/2026-09-17_46ec4547_Victor_Q08.wav" TargetMode="External"/><Relationship Id="rId303" Type="http://schemas.openxmlformats.org/officeDocument/2006/relationships/hyperlink" Target="audio/2026-09-17_46ec4547_Victor_Q09.wav" TargetMode="External"/><Relationship Id="rId304" Type="http://schemas.openxmlformats.org/officeDocument/2006/relationships/hyperlink" Target="audio/2026-09-17_46ec4547_Victor_Q10.wav" TargetMode="External"/><Relationship Id="rId305" Type="http://schemas.openxmlformats.org/officeDocument/2006/relationships/hyperlink" Target="audio/2026-09-17_46ec4547_Victor_Q11.wav" TargetMode="External"/><Relationship Id="rId306" Type="http://schemas.openxmlformats.org/officeDocument/2006/relationships/hyperlink" Target="audio/2026-09-17_46ec4547_Victor_Q12.wav" TargetMode="External"/><Relationship Id="rId307" Type="http://schemas.openxmlformats.org/officeDocument/2006/relationships/hyperlink" Target="audio/2026-09-17_46ec4547_Victor_Q13.wav" TargetMode="External"/><Relationship Id="rId308" Type="http://schemas.openxmlformats.org/officeDocument/2006/relationships/hyperlink" Target="audio/2026-09-17_46ec4547_Victor_Q14.wav" TargetMode="External"/><Relationship Id="rId309" Type="http://schemas.openxmlformats.org/officeDocument/2006/relationships/hyperlink" Target="audio/2026-09-17_46ec4547_Victor_Q15.wav" TargetMode="External"/><Relationship Id="rId310" Type="http://schemas.openxmlformats.org/officeDocument/2006/relationships/hyperlink" Target="audio/2026-09-17_46ec4547_Victor_Q16.wav" TargetMode="External"/><Relationship Id="rId311" Type="http://schemas.openxmlformats.org/officeDocument/2006/relationships/hyperlink" Target="audio/2026-09-17_46ec4547_Victor_Q17.wav" TargetMode="External"/><Relationship Id="rId312" Type="http://schemas.openxmlformats.org/officeDocument/2006/relationships/hyperlink" Target="audio/2026-09-21_4f629181_Susan_Q08.wav" TargetMode="External"/><Relationship Id="rId313" Type="http://schemas.openxmlformats.org/officeDocument/2006/relationships/hyperlink" Target="audio/2026-09-21_4f629181_Susan_Q09.wav" TargetMode="External"/><Relationship Id="rId314" Type="http://schemas.openxmlformats.org/officeDocument/2006/relationships/hyperlink" Target="audio/2026-09-21_4f629181_Susan_Q10.wav" TargetMode="External"/><Relationship Id="rId315" Type="http://schemas.openxmlformats.org/officeDocument/2006/relationships/hyperlink" Target="audio/2026-09-21_4f629181_Susan_Q11.wav" TargetMode="External"/><Relationship Id="rId316" Type="http://schemas.openxmlformats.org/officeDocument/2006/relationships/hyperlink" Target="audio/2026-09-21_4f629181_Susan_Q12.wav" TargetMode="External"/><Relationship Id="rId317" Type="http://schemas.openxmlformats.org/officeDocument/2006/relationships/hyperlink" Target="audio/2026-09-21_4f629181_Susan_Q13.wav" TargetMode="External"/><Relationship Id="rId318" Type="http://schemas.openxmlformats.org/officeDocument/2006/relationships/hyperlink" Target="audio/2026-09-21_4f629181_Susan_Q14.wav" TargetMode="External"/><Relationship Id="rId319" Type="http://schemas.openxmlformats.org/officeDocument/2006/relationships/hyperlink" Target="audio/2026-09-21_4f629181_Susan_Q15.wav" TargetMode="External"/><Relationship Id="rId320" Type="http://schemas.openxmlformats.org/officeDocument/2006/relationships/hyperlink" Target="audio/2026-09-21_4f629181_Susan_Q16.wav" TargetMode="External"/><Relationship Id="rId321" Type="http://schemas.openxmlformats.org/officeDocument/2006/relationships/hyperlink" Target="audio/2026-09-21_4f629181_Susan_Q17.wav" TargetMode="External"/><Relationship Id="rId322" Type="http://schemas.openxmlformats.org/officeDocument/2006/relationships/hyperlink" Target="audio/2026-09-21_7db59ab6_Ednah_Q08.wav" TargetMode="External"/><Relationship Id="rId323" Type="http://schemas.openxmlformats.org/officeDocument/2006/relationships/hyperlink" Target="audio/2026-09-21_7db59ab6_Ednah_Q09.wav" TargetMode="External"/><Relationship Id="rId324" Type="http://schemas.openxmlformats.org/officeDocument/2006/relationships/hyperlink" Target="audio/2026-09-21_7db59ab6_Ednah_Q10.wav" TargetMode="External"/><Relationship Id="rId325" Type="http://schemas.openxmlformats.org/officeDocument/2006/relationships/hyperlink" Target="audio/2026-09-21_7db59ab6_Ednah_Q11.wav" TargetMode="External"/><Relationship Id="rId326" Type="http://schemas.openxmlformats.org/officeDocument/2006/relationships/hyperlink" Target="audio/2026-09-21_7db59ab6_Ednah_Q12.wav" TargetMode="External"/><Relationship Id="rId327" Type="http://schemas.openxmlformats.org/officeDocument/2006/relationships/hyperlink" Target="audio/2026-09-21_7db59ab6_Ednah_Q13.wav" TargetMode="External"/><Relationship Id="rId328" Type="http://schemas.openxmlformats.org/officeDocument/2006/relationships/hyperlink" Target="audio/2026-09-21_7db59ab6_Ednah_Q14.wav" TargetMode="External"/><Relationship Id="rId329" Type="http://schemas.openxmlformats.org/officeDocument/2006/relationships/hyperlink" Target="audio/2026-09-21_7db59ab6_Ednah_Q15.wav" TargetMode="External"/><Relationship Id="rId330" Type="http://schemas.openxmlformats.org/officeDocument/2006/relationships/hyperlink" Target="audio/2026-09-21_7db59ab6_Ednah_Q16.wav" TargetMode="External"/><Relationship Id="rId331" Type="http://schemas.openxmlformats.org/officeDocument/2006/relationships/hyperlink" Target="audio/2026-09-21_7db59ab6_Ednah_Q17.wav" TargetMode="External"/><Relationship Id="rId332" Type="http://schemas.openxmlformats.org/officeDocument/2006/relationships/drawing" Target="../drawings/drawing1.xml"/><Relationship Id="rId33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46"/>
    <col collapsed="false" customWidth="true" hidden="false" outlineLevel="0" max="3" min="3" style="0" width="30"/>
    <col collapsed="false" customWidth="true" hidden="false" outlineLevel="0" max="4" min="4" style="0" width="11"/>
    <col collapsed="false" customWidth="true" hidden="false" outlineLevel="0" max="6" min="5" style="0" width="8"/>
    <col collapsed="false" customWidth="true" hidden="false" outlineLevel="0" max="13" min="7" style="0" width="11"/>
  </cols>
  <sheetData>
    <row r="1" customFormat="false" ht="17.35" hidden="false" customHeight="false" outlineLevel="0" collapsed="false">
      <c r="A1" s="1" t="s">
        <v>0</v>
      </c>
    </row>
    <row r="2" customFormat="false" ht="15" hidden="false" customHeight="false" outlineLevel="0" collapsed="false">
      <c r="A2" s="2" t="s">
        <v>1</v>
      </c>
    </row>
    <row r="4" customFormat="false" ht="45" hidden="false" customHeight="true" outlineLevel="0" collapsed="false">
      <c r="A4" s="3" t="s">
        <v>2</v>
      </c>
      <c r="B4" s="3" t="s">
        <v>3</v>
      </c>
      <c r="C4" s="3" t="s">
        <v>4</v>
      </c>
      <c r="D4" s="3" t="s">
        <v>5</v>
      </c>
      <c r="E4" s="3" t="s">
        <v>6</v>
      </c>
      <c r="F4" s="3" t="s">
        <v>7</v>
      </c>
      <c r="G4" s="3" t="s">
        <v>8</v>
      </c>
      <c r="H4" s="3" t="s">
        <v>9</v>
      </c>
      <c r="I4" s="3" t="s">
        <v>10</v>
      </c>
      <c r="J4" s="3" t="s">
        <v>11</v>
      </c>
      <c r="K4" s="3" t="s">
        <v>12</v>
      </c>
      <c r="L4" s="3" t="s">
        <v>13</v>
      </c>
      <c r="M4" s="3" t="s">
        <v>14</v>
      </c>
    </row>
    <row r="5" customFormat="false" ht="26.85" hidden="false" customHeight="false" outlineLevel="0" collapsed="false">
      <c r="A5" s="4" t="s">
        <v>15</v>
      </c>
      <c r="B5" s="4" t="s">
        <v>16</v>
      </c>
      <c r="C5" s="4" t="s">
        <v>17</v>
      </c>
      <c r="D5" s="5" t="n">
        <f aca="false">COUNTIF('Per Recording'!$A$2:$A$331,$A5)</f>
        <v>30</v>
      </c>
      <c r="E5" s="6" t="n">
        <f aca="false">SUMIFS('Per Recording'!$G$2:$G$331,'Per Recording'!$A$2:$A$331,$A5)/SUMIFS('Per Recording'!$H$2:$H$331,'Per Recording'!$A$2:$A$331,$A5)</f>
        <v>0.722846441947566</v>
      </c>
      <c r="F5" s="6" t="n">
        <f aca="false">SUMIFS('Per Recording'!$I$2:$I$331,'Per Recording'!$A$2:$A$331,$A5)/SUMIFS('Per Recording'!$J$2:$J$331,'Per Recording'!$A$2:$A$331,$A5)</f>
        <v>0.179204892966361</v>
      </c>
      <c r="G5" s="6" t="n">
        <f aca="false">SUMIFS('Per Recording'!$G$2:$G$331,'Per Recording'!$A$2:$A$331,$A5,'Per Recording'!$C$2:$C$331,$B$18)/SUMIFS('Per Recording'!$H$2:$H$331,'Per Recording'!$A$2:$A$331,$A5,'Per Recording'!$C$2:$C$331,$B$18)</f>
        <v>0.78021978021978</v>
      </c>
      <c r="H5" s="6" t="n">
        <f aca="false">SUMIFS('Per Recording'!$I$2:$I$331,'Per Recording'!$A$2:$A$331,$A5,'Per Recording'!$C$2:$C$331,$B$18)/SUMIFS('Per Recording'!$J$2:$J$331,'Per Recording'!$A$2:$A$331,$A5,'Per Recording'!$C$2:$C$331,$B$18)</f>
        <v>0.295825771324864</v>
      </c>
      <c r="I5" s="6" t="n">
        <f aca="false">SUMIFS('Per Recording'!$G$2:$G$331,'Per Recording'!$A$2:$A$331,$A5,'Per Recording'!$C$2:$C$331,$B$19)/SUMIFS('Per Recording'!$H$2:$H$331,'Per Recording'!$A$2:$A$331,$A5,'Per Recording'!$C$2:$C$331,$B$19)</f>
        <v>0.659090909090909</v>
      </c>
      <c r="J5" s="6" t="n">
        <f aca="false">SUMIFS('Per Recording'!$I$2:$I$331,'Per Recording'!$A$2:$A$331,$A5,'Per Recording'!$C$2:$C$331,$B$19)/SUMIFS('Per Recording'!$J$2:$J$331,'Per Recording'!$A$2:$A$331,$A5,'Per Recording'!$C$2:$C$331,$B$19)</f>
        <v>0.119926199261993</v>
      </c>
      <c r="K5" s="6" t="n">
        <f aca="false">SUMIFS('Per Recording'!$G$2:$G$331,'Per Recording'!$A$2:$A$331,$A5,'Per Recording'!$C$2:$C$331,$B$20)/SUMIFS('Per Recording'!$H$2:$H$331,'Per Recording'!$A$2:$A$331,$A5,'Per Recording'!$C$2:$C$331,$B$20)</f>
        <v>0.727272727272727</v>
      </c>
      <c r="L5" s="6" t="n">
        <f aca="false">SUMIFS('Per Recording'!$I$2:$I$331,'Per Recording'!$A$2:$A$331,$A5,'Per Recording'!$C$2:$C$331,$B$20)/SUMIFS('Per Recording'!$J$2:$J$331,'Per Recording'!$A$2:$A$331,$A5,'Per Recording'!$C$2:$C$331,$B$20)</f>
        <v>0.119926199261993</v>
      </c>
      <c r="M5" s="7" t="str">
        <f aca="false">IFERROR(AVERAGEIFS('Per Recording'!$M$2:$M$331,'Per Recording'!$A$2:$A$331,$A5),"n/a")</f>
        <v>n/a</v>
      </c>
    </row>
    <row r="6" customFormat="false" ht="26.85" hidden="false" customHeight="false" outlineLevel="0" collapsed="false">
      <c r="A6" s="4" t="s">
        <v>18</v>
      </c>
      <c r="B6" s="4" t="s">
        <v>16</v>
      </c>
      <c r="C6" s="4" t="s">
        <v>19</v>
      </c>
      <c r="D6" s="5" t="n">
        <f aca="false">COUNTIF('Per Recording'!$A$2:$A$331,$A6)</f>
        <v>30</v>
      </c>
      <c r="E6" s="6" t="n">
        <f aca="false">SUMIFS('Per Recording'!$G$2:$G$331,'Per Recording'!$A$2:$A$331,$A6)/SUMIFS('Per Recording'!$H$2:$H$331,'Per Recording'!$A$2:$A$331,$A6)</f>
        <v>0.670411985018727</v>
      </c>
      <c r="F6" s="6" t="n">
        <f aca="false">SUMIFS('Per Recording'!$I$2:$I$331,'Per Recording'!$A$2:$A$331,$A6)/SUMIFS('Per Recording'!$J$2:$J$331,'Per Recording'!$A$2:$A$331,$A6)</f>
        <v>0.132721712538226</v>
      </c>
      <c r="G6" s="6" t="n">
        <f aca="false">SUMIFS('Per Recording'!$G$2:$G$331,'Per Recording'!$A$2:$A$331,$A6,'Per Recording'!$C$2:$C$331,$B$18)/SUMIFS('Per Recording'!$H$2:$H$331,'Per Recording'!$A$2:$A$331,$A6,'Per Recording'!$C$2:$C$331,$B$18)</f>
        <v>0.725274725274725</v>
      </c>
      <c r="H6" s="6" t="n">
        <f aca="false">SUMIFS('Per Recording'!$I$2:$I$331,'Per Recording'!$A$2:$A$331,$A6,'Per Recording'!$C$2:$C$331,$B$18)/SUMIFS('Per Recording'!$J$2:$J$331,'Per Recording'!$A$2:$A$331,$A6,'Per Recording'!$C$2:$C$331,$B$18)</f>
        <v>0.168784029038113</v>
      </c>
      <c r="I6" s="6" t="n">
        <f aca="false">SUMIFS('Per Recording'!$G$2:$G$331,'Per Recording'!$A$2:$A$331,$A6,'Per Recording'!$C$2:$C$331,$B$19)/SUMIFS('Per Recording'!$H$2:$H$331,'Per Recording'!$A$2:$A$331,$A6,'Per Recording'!$C$2:$C$331,$B$19)</f>
        <v>0.681818181818182</v>
      </c>
      <c r="J6" s="6" t="n">
        <f aca="false">SUMIFS('Per Recording'!$I$2:$I$331,'Per Recording'!$A$2:$A$331,$A6,'Per Recording'!$C$2:$C$331,$B$19)/SUMIFS('Per Recording'!$J$2:$J$331,'Per Recording'!$A$2:$A$331,$A6,'Per Recording'!$C$2:$C$331,$B$19)</f>
        <v>0.129151291512915</v>
      </c>
      <c r="K6" s="6" t="n">
        <f aca="false">SUMIFS('Per Recording'!$G$2:$G$331,'Per Recording'!$A$2:$A$331,$A6,'Per Recording'!$C$2:$C$331,$B$20)/SUMIFS('Per Recording'!$H$2:$H$331,'Per Recording'!$A$2:$A$331,$A6,'Per Recording'!$C$2:$C$331,$B$20)</f>
        <v>0.602272727272727</v>
      </c>
      <c r="L6" s="6" t="n">
        <f aca="false">SUMIFS('Per Recording'!$I$2:$I$331,'Per Recording'!$A$2:$A$331,$A6,'Per Recording'!$C$2:$C$331,$B$20)/SUMIFS('Per Recording'!$J$2:$J$331,'Per Recording'!$A$2:$A$331,$A6,'Per Recording'!$C$2:$C$331,$B$20)</f>
        <v>0.0996309963099631</v>
      </c>
      <c r="M6" s="7" t="n">
        <f aca="false">IFERROR(AVERAGEIFS('Per Recording'!$M$2:$M$331,'Per Recording'!$A$2:$A$331,$A6),"n/a")</f>
        <v>0.48</v>
      </c>
    </row>
    <row r="7" customFormat="false" ht="26.85" hidden="false" customHeight="false" outlineLevel="0" collapsed="false">
      <c r="A7" s="4" t="s">
        <v>20</v>
      </c>
      <c r="B7" s="4" t="s">
        <v>21</v>
      </c>
      <c r="C7" s="4" t="s">
        <v>19</v>
      </c>
      <c r="D7" s="5" t="n">
        <f aca="false">COUNTIF('Per Recording'!$A$2:$A$331,$A7)</f>
        <v>30</v>
      </c>
      <c r="E7" s="6" t="n">
        <f aca="false">SUMIFS('Per Recording'!$G$2:$G$331,'Per Recording'!$A$2:$A$331,$A7)/SUMIFS('Per Recording'!$H$2:$H$331,'Per Recording'!$A$2:$A$331,$A7)</f>
        <v>0.453183520599251</v>
      </c>
      <c r="F7" s="6" t="n">
        <f aca="false">SUMIFS('Per Recording'!$I$2:$I$331,'Per Recording'!$A$2:$A$331,$A7)/SUMIFS('Per Recording'!$J$2:$J$331,'Per Recording'!$A$2:$A$331,$A7)</f>
        <v>0.0966360856269113</v>
      </c>
      <c r="G7" s="6" t="n">
        <f aca="false">SUMIFS('Per Recording'!$G$2:$G$331,'Per Recording'!$A$2:$A$331,$A7,'Per Recording'!$C$2:$C$331,$B$18)/SUMIFS('Per Recording'!$H$2:$H$331,'Per Recording'!$A$2:$A$331,$A7,'Per Recording'!$C$2:$C$331,$B$18)</f>
        <v>0.516483516483517</v>
      </c>
      <c r="H7" s="6" t="n">
        <f aca="false">SUMIFS('Per Recording'!$I$2:$I$331,'Per Recording'!$A$2:$A$331,$A7,'Per Recording'!$C$2:$C$331,$B$18)/SUMIFS('Per Recording'!$J$2:$J$331,'Per Recording'!$A$2:$A$331,$A7,'Per Recording'!$C$2:$C$331,$B$18)</f>
        <v>0.103448275862069</v>
      </c>
      <c r="I7" s="6" t="n">
        <f aca="false">SUMIFS('Per Recording'!$G$2:$G$331,'Per Recording'!$A$2:$A$331,$A7,'Per Recording'!$C$2:$C$331,$B$19)/SUMIFS('Per Recording'!$H$2:$H$331,'Per Recording'!$A$2:$A$331,$A7,'Per Recording'!$C$2:$C$331,$B$19)</f>
        <v>0.431818181818182</v>
      </c>
      <c r="J7" s="6" t="n">
        <f aca="false">SUMIFS('Per Recording'!$I$2:$I$331,'Per Recording'!$A$2:$A$331,$A7,'Per Recording'!$C$2:$C$331,$B$19)/SUMIFS('Per Recording'!$J$2:$J$331,'Per Recording'!$A$2:$A$331,$A7,'Per Recording'!$C$2:$C$331,$B$19)</f>
        <v>0.0996309963099631</v>
      </c>
      <c r="K7" s="6" t="n">
        <f aca="false">SUMIFS('Per Recording'!$G$2:$G$331,'Per Recording'!$A$2:$A$331,$A7,'Per Recording'!$C$2:$C$331,$B$20)/SUMIFS('Per Recording'!$H$2:$H$331,'Per Recording'!$A$2:$A$331,$A7,'Per Recording'!$C$2:$C$331,$B$20)</f>
        <v>0.409090909090909</v>
      </c>
      <c r="L7" s="6" t="n">
        <f aca="false">SUMIFS('Per Recording'!$I$2:$I$331,'Per Recording'!$A$2:$A$331,$A7,'Per Recording'!$C$2:$C$331,$B$20)/SUMIFS('Per Recording'!$J$2:$J$331,'Per Recording'!$A$2:$A$331,$A7,'Per Recording'!$C$2:$C$331,$B$20)</f>
        <v>0.0867158671586716</v>
      </c>
      <c r="M7" s="7" t="n">
        <f aca="false">IFERROR(AVERAGEIFS('Per Recording'!$M$2:$M$331,'Per Recording'!$A$2:$A$331,$A7),"n/a")</f>
        <v>0.433333333333333</v>
      </c>
    </row>
    <row r="8" customFormat="false" ht="26.85" hidden="false" customHeight="false" outlineLevel="0" collapsed="false">
      <c r="A8" s="4" t="s">
        <v>22</v>
      </c>
      <c r="B8" s="4" t="s">
        <v>23</v>
      </c>
      <c r="C8" s="4" t="s">
        <v>19</v>
      </c>
      <c r="D8" s="5" t="n">
        <f aca="false">COUNTIF('Per Recording'!$A$2:$A$331,$A8)</f>
        <v>30</v>
      </c>
      <c r="E8" s="6" t="n">
        <f aca="false">SUMIFS('Per Recording'!$G$2:$G$331,'Per Recording'!$A$2:$A$331,$A8)/SUMIFS('Per Recording'!$H$2:$H$331,'Per Recording'!$A$2:$A$331,$A8)</f>
        <v>0.269662921348315</v>
      </c>
      <c r="F8" s="6" t="n">
        <f aca="false">SUMIFS('Per Recording'!$I$2:$I$331,'Per Recording'!$A$2:$A$331,$A8)/SUMIFS('Per Recording'!$J$2:$J$331,'Per Recording'!$A$2:$A$331,$A8)</f>
        <v>0.054434250764526</v>
      </c>
      <c r="G8" s="6" t="n">
        <f aca="false">SUMIFS('Per Recording'!$G$2:$G$331,'Per Recording'!$A$2:$A$331,$A8,'Per Recording'!$C$2:$C$331,$B$18)/SUMIFS('Per Recording'!$H$2:$H$331,'Per Recording'!$A$2:$A$331,$A8,'Per Recording'!$C$2:$C$331,$B$18)</f>
        <v>0.318681318681319</v>
      </c>
      <c r="H8" s="6" t="n">
        <f aca="false">SUMIFS('Per Recording'!$I$2:$I$331,'Per Recording'!$A$2:$A$331,$A8,'Per Recording'!$C$2:$C$331,$B$18)/SUMIFS('Per Recording'!$J$2:$J$331,'Per Recording'!$A$2:$A$331,$A8,'Per Recording'!$C$2:$C$331,$B$18)</f>
        <v>0.0762250453720508</v>
      </c>
      <c r="I8" s="6" t="n">
        <f aca="false">SUMIFS('Per Recording'!$G$2:$G$331,'Per Recording'!$A$2:$A$331,$A8,'Per Recording'!$C$2:$C$331,$B$19)/SUMIFS('Per Recording'!$H$2:$H$331,'Per Recording'!$A$2:$A$331,$A8,'Per Recording'!$C$2:$C$331,$B$19)</f>
        <v>0.215909090909091</v>
      </c>
      <c r="J8" s="6" t="n">
        <f aca="false">SUMIFS('Per Recording'!$I$2:$I$331,'Per Recording'!$A$2:$A$331,$A8,'Per Recording'!$C$2:$C$331,$B$19)/SUMIFS('Per Recording'!$J$2:$J$331,'Per Recording'!$A$2:$A$331,$A8,'Per Recording'!$C$2:$C$331,$B$19)</f>
        <v>0.0461254612546125</v>
      </c>
      <c r="K8" s="6" t="n">
        <f aca="false">SUMIFS('Per Recording'!$G$2:$G$331,'Per Recording'!$A$2:$A$331,$A8,'Per Recording'!$C$2:$C$331,$B$20)/SUMIFS('Per Recording'!$H$2:$H$331,'Per Recording'!$A$2:$A$331,$A8,'Per Recording'!$C$2:$C$331,$B$20)</f>
        <v>0.272727272727273</v>
      </c>
      <c r="L8" s="6" t="n">
        <f aca="false">SUMIFS('Per Recording'!$I$2:$I$331,'Per Recording'!$A$2:$A$331,$A8,'Per Recording'!$C$2:$C$331,$B$20)/SUMIFS('Per Recording'!$J$2:$J$331,'Per Recording'!$A$2:$A$331,$A8,'Per Recording'!$C$2:$C$331,$B$20)</f>
        <v>0.040590405904059</v>
      </c>
      <c r="M8" s="7" t="n">
        <f aca="false">IFERROR(AVERAGEIFS('Per Recording'!$M$2:$M$331,'Per Recording'!$A$2:$A$331,$A8),"n/a")</f>
        <v>0.456666666666667</v>
      </c>
    </row>
    <row r="9" customFormat="false" ht="39.55" hidden="false" customHeight="false" outlineLevel="0" collapsed="false">
      <c r="A9" s="4" t="s">
        <v>24</v>
      </c>
      <c r="B9" s="4" t="s">
        <v>25</v>
      </c>
      <c r="C9" s="4" t="s">
        <v>19</v>
      </c>
      <c r="D9" s="5" t="n">
        <f aca="false">COUNTIF('Per Recording'!$A$2:$A$331,$A9)</f>
        <v>30</v>
      </c>
      <c r="E9" s="6" t="n">
        <f aca="false">SUMIFS('Per Recording'!$G$2:$G$331,'Per Recording'!$A$2:$A$331,$A9)/SUMIFS('Per Recording'!$H$2:$H$331,'Per Recording'!$A$2:$A$331,$A9)</f>
        <v>0.232209737827715</v>
      </c>
      <c r="F9" s="6" t="n">
        <f aca="false">SUMIFS('Per Recording'!$I$2:$I$331,'Per Recording'!$A$2:$A$331,$A9)/SUMIFS('Per Recording'!$J$2:$J$331,'Per Recording'!$A$2:$A$331,$A9)</f>
        <v>0.0617737003058104</v>
      </c>
      <c r="G9" s="6" t="n">
        <f aca="false">SUMIFS('Per Recording'!$G$2:$G$331,'Per Recording'!$A$2:$A$331,$A9,'Per Recording'!$C$2:$C$331,$B$18)/SUMIFS('Per Recording'!$H$2:$H$331,'Per Recording'!$A$2:$A$331,$A9,'Per Recording'!$C$2:$C$331,$B$18)</f>
        <v>0.285714285714286</v>
      </c>
      <c r="H9" s="6" t="n">
        <f aca="false">SUMIFS('Per Recording'!$I$2:$I$331,'Per Recording'!$A$2:$A$331,$A9,'Per Recording'!$C$2:$C$331,$B$18)/SUMIFS('Per Recording'!$J$2:$J$331,'Per Recording'!$A$2:$A$331,$A9,'Per Recording'!$C$2:$C$331,$B$18)</f>
        <v>0.0871143375680581</v>
      </c>
      <c r="I9" s="6" t="n">
        <f aca="false">SUMIFS('Per Recording'!$G$2:$G$331,'Per Recording'!$A$2:$A$331,$A9,'Per Recording'!$C$2:$C$331,$B$19)/SUMIFS('Per Recording'!$H$2:$H$331,'Per Recording'!$A$2:$A$331,$A9,'Per Recording'!$C$2:$C$331,$B$19)</f>
        <v>0.227272727272727</v>
      </c>
      <c r="J9" s="6" t="n">
        <f aca="false">SUMIFS('Per Recording'!$I$2:$I$331,'Per Recording'!$A$2:$A$331,$A9,'Per Recording'!$C$2:$C$331,$B$19)/SUMIFS('Per Recording'!$J$2:$J$331,'Per Recording'!$A$2:$A$331,$A9,'Per Recording'!$C$2:$C$331,$B$19)</f>
        <v>0.0498154981549816</v>
      </c>
      <c r="K9" s="6" t="n">
        <f aca="false">SUMIFS('Per Recording'!$G$2:$G$331,'Per Recording'!$A$2:$A$331,$A9,'Per Recording'!$C$2:$C$331,$B$20)/SUMIFS('Per Recording'!$H$2:$H$331,'Per Recording'!$A$2:$A$331,$A9,'Per Recording'!$C$2:$C$331,$B$20)</f>
        <v>0.181818181818182</v>
      </c>
      <c r="L9" s="6" t="n">
        <f aca="false">SUMIFS('Per Recording'!$I$2:$I$331,'Per Recording'!$A$2:$A$331,$A9,'Per Recording'!$C$2:$C$331,$B$20)/SUMIFS('Per Recording'!$J$2:$J$331,'Per Recording'!$A$2:$A$331,$A9,'Per Recording'!$C$2:$C$331,$B$20)</f>
        <v>0.0479704797047971</v>
      </c>
      <c r="M9" s="7" t="n">
        <f aca="false">IFERROR(AVERAGEIFS('Per Recording'!$M$2:$M$331,'Per Recording'!$A$2:$A$331,$A9),"n/a")</f>
        <v>0.493333333333333</v>
      </c>
    </row>
    <row r="10" customFormat="false" ht="26.85" hidden="false" customHeight="false" outlineLevel="0" collapsed="false">
      <c r="A10" s="8" t="s">
        <v>26</v>
      </c>
      <c r="B10" s="9" t="s">
        <v>27</v>
      </c>
      <c r="C10" s="9" t="s">
        <v>19</v>
      </c>
      <c r="D10" s="10" t="n">
        <f aca="false">COUNTIF('Per Recording'!$A$2:$A$331,$A10)</f>
        <v>30</v>
      </c>
      <c r="E10" s="11" t="n">
        <f aca="false">SUMIFS('Per Recording'!$G$2:$G$331,'Per Recording'!$A$2:$A$331,$A10)/SUMIFS('Per Recording'!$H$2:$H$331,'Per Recording'!$A$2:$A$331,$A10)</f>
        <v>0.146067415730337</v>
      </c>
      <c r="F10" s="11" t="n">
        <f aca="false">SUMIFS('Per Recording'!$I$2:$I$331,'Per Recording'!$A$2:$A$331,$A10)/SUMIFS('Per Recording'!$J$2:$J$331,'Per Recording'!$A$2:$A$331,$A10)</f>
        <v>0.0574923547400612</v>
      </c>
      <c r="G10" s="11" t="n">
        <f aca="false">SUMIFS('Per Recording'!$G$2:$G$331,'Per Recording'!$A$2:$A$331,$A10,'Per Recording'!$C$2:$C$331,$B$18)/SUMIFS('Per Recording'!$H$2:$H$331,'Per Recording'!$A$2:$A$331,$A10,'Per Recording'!$C$2:$C$331,$B$18)</f>
        <v>0.241758241758242</v>
      </c>
      <c r="H10" s="11" t="n">
        <f aca="false">SUMIFS('Per Recording'!$I$2:$I$331,'Per Recording'!$A$2:$A$331,$A10,'Per Recording'!$C$2:$C$331,$B$18)/SUMIFS('Per Recording'!$J$2:$J$331,'Per Recording'!$A$2:$A$331,$A10,'Per Recording'!$C$2:$C$331,$B$18)</f>
        <v>0.134301270417423</v>
      </c>
      <c r="I10" s="11" t="n">
        <f aca="false">SUMIFS('Per Recording'!$G$2:$G$331,'Per Recording'!$A$2:$A$331,$A10,'Per Recording'!$C$2:$C$331,$B$19)/SUMIFS('Per Recording'!$H$2:$H$331,'Per Recording'!$A$2:$A$331,$A10,'Per Recording'!$C$2:$C$331,$B$19)</f>
        <v>0.0795454545454545</v>
      </c>
      <c r="J10" s="11" t="n">
        <f aca="false">SUMIFS('Per Recording'!$I$2:$I$331,'Per Recording'!$A$2:$A$331,$A10,'Per Recording'!$C$2:$C$331,$B$19)/SUMIFS('Per Recording'!$J$2:$J$331,'Per Recording'!$A$2:$A$331,$A10,'Per Recording'!$C$2:$C$331,$B$19)</f>
        <v>0.0129151291512915</v>
      </c>
      <c r="K10" s="11" t="n">
        <f aca="false">SUMIFS('Per Recording'!$G$2:$G$331,'Per Recording'!$A$2:$A$331,$A10,'Per Recording'!$C$2:$C$331,$B$20)/SUMIFS('Per Recording'!$H$2:$H$331,'Per Recording'!$A$2:$A$331,$A10,'Per Recording'!$C$2:$C$331,$B$20)</f>
        <v>0.113636363636364</v>
      </c>
      <c r="L10" s="11" t="n">
        <f aca="false">SUMIFS('Per Recording'!$I$2:$I$331,'Per Recording'!$A$2:$A$331,$A10,'Per Recording'!$C$2:$C$331,$B$20)/SUMIFS('Per Recording'!$J$2:$J$331,'Per Recording'!$A$2:$A$331,$A10,'Per Recording'!$C$2:$C$331,$B$20)</f>
        <v>0.0239852398523985</v>
      </c>
      <c r="M10" s="12" t="n">
        <f aca="false">IFERROR(AVERAGEIFS('Per Recording'!$M$2:$M$331,'Per Recording'!$A$2:$A$331,$A10),"n/a")</f>
        <v>0.556666666666667</v>
      </c>
    </row>
    <row r="11" customFormat="false" ht="26.85" hidden="false" customHeight="false" outlineLevel="0" collapsed="false">
      <c r="A11" s="8" t="s">
        <v>28</v>
      </c>
      <c r="B11" s="9" t="s">
        <v>29</v>
      </c>
      <c r="C11" s="9" t="s">
        <v>30</v>
      </c>
      <c r="D11" s="10" t="n">
        <f aca="false">COUNTIF('Per Recording'!$A$2:$A$331,$A11)</f>
        <v>30</v>
      </c>
      <c r="E11" s="11" t="n">
        <f aca="false">SUMIFS('Per Recording'!$G$2:$G$331,'Per Recording'!$A$2:$A$331,$A11)/SUMIFS('Per Recording'!$H$2:$H$331,'Per Recording'!$A$2:$A$331,$A11)</f>
        <v>0.0711610486891386</v>
      </c>
      <c r="F11" s="11" t="n">
        <f aca="false">SUMIFS('Per Recording'!$I$2:$I$331,'Per Recording'!$A$2:$A$331,$A11)/SUMIFS('Per Recording'!$J$2:$J$331,'Per Recording'!$A$2:$A$331,$A11)</f>
        <v>0.0207951070336391</v>
      </c>
      <c r="G11" s="11" t="n">
        <f aca="false">SUMIFS('Per Recording'!$G$2:$G$331,'Per Recording'!$A$2:$A$331,$A11,'Per Recording'!$C$2:$C$331,$B$18)/SUMIFS('Per Recording'!$H$2:$H$331,'Per Recording'!$A$2:$A$331,$A11,'Per Recording'!$C$2:$C$331,$B$18)</f>
        <v>0.0549450549450549</v>
      </c>
      <c r="H11" s="11" t="n">
        <f aca="false">SUMIFS('Per Recording'!$I$2:$I$331,'Per Recording'!$A$2:$A$331,$A11,'Per Recording'!$C$2:$C$331,$B$18)/SUMIFS('Per Recording'!$J$2:$J$331,'Per Recording'!$A$2:$A$331,$A11,'Per Recording'!$C$2:$C$331,$B$18)</f>
        <v>0.0108892921960073</v>
      </c>
      <c r="I11" s="11" t="n">
        <f aca="false">SUMIFS('Per Recording'!$G$2:$G$331,'Per Recording'!$A$2:$A$331,$A11,'Per Recording'!$C$2:$C$331,$B$19)/SUMIFS('Per Recording'!$H$2:$H$331,'Per Recording'!$A$2:$A$331,$A11,'Per Recording'!$C$2:$C$331,$B$19)</f>
        <v>0.0340909090909091</v>
      </c>
      <c r="J11" s="11" t="n">
        <f aca="false">SUMIFS('Per Recording'!$I$2:$I$331,'Per Recording'!$A$2:$A$331,$A11,'Per Recording'!$C$2:$C$331,$B$19)/SUMIFS('Per Recording'!$J$2:$J$331,'Per Recording'!$A$2:$A$331,$A11,'Per Recording'!$C$2:$C$331,$B$19)</f>
        <v>0.018450184501845</v>
      </c>
      <c r="K11" s="11" t="n">
        <f aca="false">SUMIFS('Per Recording'!$G$2:$G$331,'Per Recording'!$A$2:$A$331,$A11,'Per Recording'!$C$2:$C$331,$B$20)/SUMIFS('Per Recording'!$H$2:$H$331,'Per Recording'!$A$2:$A$331,$A11,'Per Recording'!$C$2:$C$331,$B$20)</f>
        <v>0.125</v>
      </c>
      <c r="L11" s="11" t="n">
        <f aca="false">SUMIFS('Per Recording'!$I$2:$I$331,'Per Recording'!$A$2:$A$331,$A11,'Per Recording'!$C$2:$C$331,$B$20)/SUMIFS('Per Recording'!$J$2:$J$331,'Per Recording'!$A$2:$A$331,$A11,'Per Recording'!$C$2:$C$331,$B$20)</f>
        <v>0.033210332103321</v>
      </c>
      <c r="M11" s="12" t="n">
        <f aca="false">IFERROR(AVERAGEIFS('Per Recording'!$M$2:$M$331,'Per Recording'!$A$2:$A$331,$A11),"n/a")</f>
        <v>1.05</v>
      </c>
    </row>
    <row r="12" customFormat="false" ht="26.85" hidden="false" customHeight="false" outlineLevel="0" collapsed="false">
      <c r="A12" s="4" t="s">
        <v>31</v>
      </c>
      <c r="B12" s="4" t="s">
        <v>32</v>
      </c>
      <c r="C12" s="4" t="s">
        <v>30</v>
      </c>
      <c r="D12" s="5" t="n">
        <f aca="false">COUNTIF('Per Recording'!$A$2:$A$331,$A12)</f>
        <v>30</v>
      </c>
      <c r="E12" s="6" t="n">
        <f aca="false">SUMIFS('Per Recording'!$G$2:$G$331,'Per Recording'!$A$2:$A$331,$A12)/SUMIFS('Per Recording'!$H$2:$H$331,'Per Recording'!$A$2:$A$331,$A12)</f>
        <v>0.116104868913858</v>
      </c>
      <c r="F12" s="6" t="n">
        <f aca="false">SUMIFS('Per Recording'!$I$2:$I$331,'Per Recording'!$A$2:$A$331,$A12)/SUMIFS('Per Recording'!$J$2:$J$331,'Per Recording'!$A$2:$A$331,$A12)</f>
        <v>0.0379204892966361</v>
      </c>
      <c r="G12" s="6" t="n">
        <f aca="false">SUMIFS('Per Recording'!$G$2:$G$331,'Per Recording'!$A$2:$A$331,$A12,'Per Recording'!$C$2:$C$331,$B$18)/SUMIFS('Per Recording'!$H$2:$H$331,'Per Recording'!$A$2:$A$331,$A12,'Per Recording'!$C$2:$C$331,$B$18)</f>
        <v>0.164835164835165</v>
      </c>
      <c r="H12" s="6" t="n">
        <f aca="false">SUMIFS('Per Recording'!$I$2:$I$331,'Per Recording'!$A$2:$A$331,$A12,'Per Recording'!$C$2:$C$331,$B$18)/SUMIFS('Per Recording'!$J$2:$J$331,'Per Recording'!$A$2:$A$331,$A12,'Per Recording'!$C$2:$C$331,$B$18)</f>
        <v>0.0471869328493648</v>
      </c>
      <c r="I12" s="6" t="n">
        <f aca="false">SUMIFS('Per Recording'!$G$2:$G$331,'Per Recording'!$A$2:$A$331,$A12,'Per Recording'!$C$2:$C$331,$B$19)/SUMIFS('Per Recording'!$H$2:$H$331,'Per Recording'!$A$2:$A$331,$A12,'Per Recording'!$C$2:$C$331,$B$19)</f>
        <v>0.0568181818181818</v>
      </c>
      <c r="J12" s="6" t="n">
        <f aca="false">SUMIFS('Per Recording'!$I$2:$I$331,'Per Recording'!$A$2:$A$331,$A12,'Per Recording'!$C$2:$C$331,$B$19)/SUMIFS('Per Recording'!$J$2:$J$331,'Per Recording'!$A$2:$A$331,$A12,'Per Recording'!$C$2:$C$331,$B$19)</f>
        <v>0.00922509225092251</v>
      </c>
      <c r="K12" s="6" t="n">
        <f aca="false">SUMIFS('Per Recording'!$G$2:$G$331,'Per Recording'!$A$2:$A$331,$A12,'Per Recording'!$C$2:$C$331,$B$20)/SUMIFS('Per Recording'!$H$2:$H$331,'Per Recording'!$A$2:$A$331,$A12,'Per Recording'!$C$2:$C$331,$B$20)</f>
        <v>0.125</v>
      </c>
      <c r="L12" s="6" t="n">
        <f aca="false">SUMIFS('Per Recording'!$I$2:$I$331,'Per Recording'!$A$2:$A$331,$A12,'Per Recording'!$C$2:$C$331,$B$20)/SUMIFS('Per Recording'!$J$2:$J$331,'Per Recording'!$A$2:$A$331,$A12,'Per Recording'!$C$2:$C$331,$B$20)</f>
        <v>0.0571955719557196</v>
      </c>
      <c r="M12" s="7" t="n">
        <f aca="false">IFERROR(AVERAGEIFS('Per Recording'!$M$2:$M$331,'Per Recording'!$A$2:$A$331,$A12),"n/a")</f>
        <v>0.943333333333333</v>
      </c>
    </row>
    <row r="13" customFormat="false" ht="26.85" hidden="false" customHeight="false" outlineLevel="0" collapsed="false">
      <c r="A13" s="4" t="s">
        <v>33</v>
      </c>
      <c r="B13" s="4" t="s">
        <v>34</v>
      </c>
      <c r="C13" s="4" t="s">
        <v>30</v>
      </c>
      <c r="D13" s="5" t="n">
        <f aca="false">COUNTIF('Per Recording'!$A$2:$A$331,$A13)</f>
        <v>30</v>
      </c>
      <c r="E13" s="6" t="n">
        <f aca="false">SUMIFS('Per Recording'!$G$2:$G$331,'Per Recording'!$A$2:$A$331,$A13)/SUMIFS('Per Recording'!$H$2:$H$331,'Per Recording'!$A$2:$A$331,$A13)</f>
        <v>0.164794007490637</v>
      </c>
      <c r="F13" s="6" t="n">
        <f aca="false">SUMIFS('Per Recording'!$I$2:$I$331,'Per Recording'!$A$2:$A$331,$A13)/SUMIFS('Per Recording'!$J$2:$J$331,'Per Recording'!$A$2:$A$331,$A13)</f>
        <v>0.0262996941896024</v>
      </c>
      <c r="G13" s="6" t="n">
        <f aca="false">SUMIFS('Per Recording'!$G$2:$G$331,'Per Recording'!$A$2:$A$331,$A13,'Per Recording'!$C$2:$C$331,$B$18)/SUMIFS('Per Recording'!$H$2:$H$331,'Per Recording'!$A$2:$A$331,$A13,'Per Recording'!$C$2:$C$331,$B$18)</f>
        <v>0.175824175824176</v>
      </c>
      <c r="H13" s="6" t="n">
        <f aca="false">SUMIFS('Per Recording'!$I$2:$I$331,'Per Recording'!$A$2:$A$331,$A13,'Per Recording'!$C$2:$C$331,$B$18)/SUMIFS('Per Recording'!$J$2:$J$331,'Per Recording'!$A$2:$A$331,$A13,'Per Recording'!$C$2:$C$331,$B$18)</f>
        <v>0.0417422867513612</v>
      </c>
      <c r="I13" s="6" t="n">
        <f aca="false">SUMIFS('Per Recording'!$G$2:$G$331,'Per Recording'!$A$2:$A$331,$A13,'Per Recording'!$C$2:$C$331,$B$19)/SUMIFS('Per Recording'!$H$2:$H$331,'Per Recording'!$A$2:$A$331,$A13,'Per Recording'!$C$2:$C$331,$B$19)</f>
        <v>0.147727272727273</v>
      </c>
      <c r="J13" s="6" t="n">
        <f aca="false">SUMIFS('Per Recording'!$I$2:$I$331,'Per Recording'!$A$2:$A$331,$A13,'Per Recording'!$C$2:$C$331,$B$19)/SUMIFS('Per Recording'!$J$2:$J$331,'Per Recording'!$A$2:$A$331,$A13,'Per Recording'!$C$2:$C$331,$B$19)</f>
        <v>0.018450184501845</v>
      </c>
      <c r="K13" s="6" t="n">
        <f aca="false">SUMIFS('Per Recording'!$G$2:$G$331,'Per Recording'!$A$2:$A$331,$A13,'Per Recording'!$C$2:$C$331,$B$20)/SUMIFS('Per Recording'!$H$2:$H$331,'Per Recording'!$A$2:$A$331,$A13,'Per Recording'!$C$2:$C$331,$B$20)</f>
        <v>0.170454545454545</v>
      </c>
      <c r="L13" s="6" t="n">
        <f aca="false">SUMIFS('Per Recording'!$I$2:$I$331,'Per Recording'!$A$2:$A$331,$A13,'Per Recording'!$C$2:$C$331,$B$20)/SUMIFS('Per Recording'!$J$2:$J$331,'Per Recording'!$A$2:$A$331,$A13,'Per Recording'!$C$2:$C$331,$B$20)</f>
        <v>0.018450184501845</v>
      </c>
      <c r="M13" s="7" t="n">
        <f aca="false">IFERROR(AVERAGEIFS('Per Recording'!$M$2:$M$331,'Per Recording'!$A$2:$A$331,$A13),"n/a")</f>
        <v>0.933333333333333</v>
      </c>
    </row>
    <row r="14" customFormat="false" ht="26.85" hidden="false" customHeight="false" outlineLevel="0" collapsed="false">
      <c r="A14" s="4" t="s">
        <v>35</v>
      </c>
      <c r="B14" s="4" t="s">
        <v>36</v>
      </c>
      <c r="C14" s="4" t="s">
        <v>30</v>
      </c>
      <c r="D14" s="5" t="n">
        <f aca="false">COUNTIF('Per Recording'!$A$2:$A$331,$A14)</f>
        <v>30</v>
      </c>
      <c r="E14" s="6" t="n">
        <f aca="false">SUMIFS('Per Recording'!$G$2:$G$331,'Per Recording'!$A$2:$A$331,$A14)/SUMIFS('Per Recording'!$H$2:$H$331,'Per Recording'!$A$2:$A$331,$A14)</f>
        <v>0.262172284644195</v>
      </c>
      <c r="F14" s="6" t="n">
        <f aca="false">SUMIFS('Per Recording'!$I$2:$I$331,'Per Recording'!$A$2:$A$331,$A14)/SUMIFS('Per Recording'!$J$2:$J$331,'Per Recording'!$A$2:$A$331,$A14)</f>
        <v>0.0629969418960245</v>
      </c>
      <c r="G14" s="6" t="n">
        <f aca="false">SUMIFS('Per Recording'!$G$2:$G$331,'Per Recording'!$A$2:$A$331,$A14,'Per Recording'!$C$2:$C$331,$B$18)/SUMIFS('Per Recording'!$H$2:$H$331,'Per Recording'!$A$2:$A$331,$A14,'Per Recording'!$C$2:$C$331,$B$18)</f>
        <v>0.318681318681319</v>
      </c>
      <c r="H14" s="6" t="n">
        <f aca="false">SUMIFS('Per Recording'!$I$2:$I$331,'Per Recording'!$A$2:$A$331,$A14,'Per Recording'!$C$2:$C$331,$B$18)/SUMIFS('Per Recording'!$J$2:$J$331,'Per Recording'!$A$2:$A$331,$A14,'Per Recording'!$C$2:$C$331,$B$18)</f>
        <v>0.0725952813067151</v>
      </c>
      <c r="I14" s="6" t="n">
        <f aca="false">SUMIFS('Per Recording'!$G$2:$G$331,'Per Recording'!$A$2:$A$331,$A14,'Per Recording'!$C$2:$C$331,$B$19)/SUMIFS('Per Recording'!$H$2:$H$331,'Per Recording'!$A$2:$A$331,$A14,'Per Recording'!$C$2:$C$331,$B$19)</f>
        <v>0.170454545454545</v>
      </c>
      <c r="J14" s="6" t="n">
        <f aca="false">SUMIFS('Per Recording'!$I$2:$I$331,'Per Recording'!$A$2:$A$331,$A14,'Per Recording'!$C$2:$C$331,$B$19)/SUMIFS('Per Recording'!$J$2:$J$331,'Per Recording'!$A$2:$A$331,$A14,'Per Recording'!$C$2:$C$331,$B$19)</f>
        <v>0.0498154981549816</v>
      </c>
      <c r="K14" s="6" t="n">
        <f aca="false">SUMIFS('Per Recording'!$G$2:$G$331,'Per Recording'!$A$2:$A$331,$A14,'Per Recording'!$C$2:$C$331,$B$20)/SUMIFS('Per Recording'!$H$2:$H$331,'Per Recording'!$A$2:$A$331,$A14,'Per Recording'!$C$2:$C$331,$B$20)</f>
        <v>0.295454545454545</v>
      </c>
      <c r="L14" s="6" t="n">
        <f aca="false">SUMIFS('Per Recording'!$I$2:$I$331,'Per Recording'!$A$2:$A$331,$A14,'Per Recording'!$C$2:$C$331,$B$20)/SUMIFS('Per Recording'!$J$2:$J$331,'Per Recording'!$A$2:$A$331,$A14,'Per Recording'!$C$2:$C$331,$B$20)</f>
        <v>0.0664206642066421</v>
      </c>
      <c r="M14" s="7" t="n">
        <f aca="false">IFERROR(AVERAGEIFS('Per Recording'!$M$2:$M$331,'Per Recording'!$A$2:$A$331,$A14),"n/a")</f>
        <v>0.00333333333333333</v>
      </c>
    </row>
    <row r="15" customFormat="false" ht="26.85" hidden="false" customHeight="false" outlineLevel="0" collapsed="false">
      <c r="A15" s="4" t="s">
        <v>37</v>
      </c>
      <c r="B15" s="4" t="s">
        <v>38</v>
      </c>
      <c r="C15" s="4" t="s">
        <v>30</v>
      </c>
      <c r="D15" s="5" t="n">
        <f aca="false">COUNTIF('Per Recording'!$A$2:$A$331,$A15)</f>
        <v>30</v>
      </c>
      <c r="E15" s="6" t="n">
        <f aca="false">SUMIFS('Per Recording'!$G$2:$G$331,'Per Recording'!$A$2:$A$331,$A15)/SUMIFS('Per Recording'!$H$2:$H$331,'Per Recording'!$A$2:$A$331,$A15)</f>
        <v>0.355805243445693</v>
      </c>
      <c r="F15" s="6" t="n">
        <f aca="false">SUMIFS('Per Recording'!$I$2:$I$331,'Per Recording'!$A$2:$A$331,$A15)/SUMIFS('Per Recording'!$J$2:$J$331,'Per Recording'!$A$2:$A$331,$A15)</f>
        <v>0.054434250764526</v>
      </c>
      <c r="G15" s="6" t="n">
        <f aca="false">SUMIFS('Per Recording'!$G$2:$G$331,'Per Recording'!$A$2:$A$331,$A15,'Per Recording'!$C$2:$C$331,$B$18)/SUMIFS('Per Recording'!$H$2:$H$331,'Per Recording'!$A$2:$A$331,$A15,'Per Recording'!$C$2:$C$331,$B$18)</f>
        <v>0.384615384615385</v>
      </c>
      <c r="H15" s="6" t="n">
        <f aca="false">SUMIFS('Per Recording'!$I$2:$I$331,'Per Recording'!$A$2:$A$331,$A15,'Per Recording'!$C$2:$C$331,$B$18)/SUMIFS('Per Recording'!$J$2:$J$331,'Per Recording'!$A$2:$A$331,$A15,'Per Recording'!$C$2:$C$331,$B$18)</f>
        <v>0.0635208711433757</v>
      </c>
      <c r="I15" s="6" t="n">
        <f aca="false">SUMIFS('Per Recording'!$G$2:$G$331,'Per Recording'!$A$2:$A$331,$A15,'Per Recording'!$C$2:$C$331,$B$19)/SUMIFS('Per Recording'!$H$2:$H$331,'Per Recording'!$A$2:$A$331,$A15,'Per Recording'!$C$2:$C$331,$B$19)</f>
        <v>0.295454545454545</v>
      </c>
      <c r="J15" s="6" t="n">
        <f aca="false">SUMIFS('Per Recording'!$I$2:$I$331,'Per Recording'!$A$2:$A$331,$A15,'Per Recording'!$C$2:$C$331,$B$19)/SUMIFS('Per Recording'!$J$2:$J$331,'Per Recording'!$A$2:$A$331,$A15,'Per Recording'!$C$2:$C$331,$B$19)</f>
        <v>0.0516605166051661</v>
      </c>
      <c r="K15" s="6" t="n">
        <f aca="false">SUMIFS('Per Recording'!$G$2:$G$331,'Per Recording'!$A$2:$A$331,$A15,'Per Recording'!$C$2:$C$331,$B$20)/SUMIFS('Per Recording'!$H$2:$H$331,'Per Recording'!$A$2:$A$331,$A15,'Per Recording'!$C$2:$C$331,$B$20)</f>
        <v>0.386363636363636</v>
      </c>
      <c r="L15" s="6" t="n">
        <f aca="false">SUMIFS('Per Recording'!$I$2:$I$331,'Per Recording'!$A$2:$A$331,$A15,'Per Recording'!$C$2:$C$331,$B$20)/SUMIFS('Per Recording'!$J$2:$J$331,'Per Recording'!$A$2:$A$331,$A15,'Per Recording'!$C$2:$C$331,$B$20)</f>
        <v>0.0479704797047971</v>
      </c>
      <c r="M15" s="7" t="n">
        <f aca="false">IFERROR(AVERAGEIFS('Per Recording'!$M$2:$M$331,'Per Recording'!$A$2:$A$331,$A15),"n/a")</f>
        <v>0</v>
      </c>
    </row>
    <row r="17" customFormat="false" ht="15" hidden="false" customHeight="false" outlineLevel="0" collapsed="false">
      <c r="A17" s="13" t="s">
        <v>39</v>
      </c>
    </row>
    <row r="18" customFormat="false" ht="15" hidden="false" customHeight="false" outlineLevel="0" collapsed="false">
      <c r="A18" s="14" t="s">
        <v>40</v>
      </c>
      <c r="B18" s="15" t="s">
        <v>41</v>
      </c>
    </row>
    <row r="19" customFormat="false" ht="15" hidden="false" customHeight="false" outlineLevel="0" collapsed="false">
      <c r="A19" s="14" t="s">
        <v>42</v>
      </c>
      <c r="B19" s="15" t="s">
        <v>43</v>
      </c>
    </row>
    <row r="20" customFormat="false" ht="15" hidden="false" customHeight="false" outlineLevel="0" collapsed="false">
      <c r="A20" s="14" t="s">
        <v>44</v>
      </c>
      <c r="B20" s="15" t="s">
        <v>45</v>
      </c>
    </row>
    <row r="22" customFormat="false" ht="15" hidden="false" customHeight="false" outlineLevel="0" collapsed="false">
      <c r="A22" s="16" t="s">
        <v>46</v>
      </c>
    </row>
    <row r="23" customFormat="false" ht="79.5" hidden="false" customHeight="true" outlineLevel="0" collapsed="false">
      <c r="A23" s="17" t="s">
        <v>47</v>
      </c>
      <c r="B23" s="18" t="s">
        <v>48</v>
      </c>
      <c r="C23" s="18"/>
      <c r="D23" s="18"/>
      <c r="E23" s="18"/>
      <c r="F23" s="18"/>
      <c r="G23" s="18"/>
      <c r="H23" s="18"/>
    </row>
    <row r="24" customFormat="false" ht="63.75" hidden="false" customHeight="true" outlineLevel="0" collapsed="false">
      <c r="A24" s="17" t="s">
        <v>49</v>
      </c>
      <c r="B24" s="18" t="s">
        <v>50</v>
      </c>
      <c r="C24" s="18"/>
      <c r="D24" s="18"/>
      <c r="E24" s="18"/>
      <c r="F24" s="18"/>
      <c r="G24" s="18"/>
      <c r="H24" s="18"/>
    </row>
    <row r="25" customFormat="false" ht="63.75" hidden="false" customHeight="true" outlineLevel="0" collapsed="false">
      <c r="A25" s="17" t="s">
        <v>51</v>
      </c>
      <c r="B25" s="18" t="s">
        <v>52</v>
      </c>
      <c r="C25" s="18"/>
      <c r="D25" s="18"/>
      <c r="E25" s="18"/>
      <c r="F25" s="18"/>
      <c r="G25" s="18"/>
      <c r="H25" s="18"/>
    </row>
    <row r="26" customFormat="false" ht="63.75" hidden="false" customHeight="true" outlineLevel="0" collapsed="false">
      <c r="A26" s="17" t="s">
        <v>53</v>
      </c>
      <c r="B26" s="18" t="s">
        <v>54</v>
      </c>
      <c r="C26" s="18"/>
      <c r="D26" s="18"/>
      <c r="E26" s="18"/>
      <c r="F26" s="18"/>
      <c r="G26" s="18"/>
      <c r="H26" s="18"/>
    </row>
    <row r="27" customFormat="false" ht="63.75" hidden="false" customHeight="true" outlineLevel="0" collapsed="false">
      <c r="A27" s="17" t="s">
        <v>55</v>
      </c>
      <c r="B27" s="18" t="s">
        <v>56</v>
      </c>
      <c r="C27" s="18"/>
      <c r="D27" s="18"/>
      <c r="E27" s="18"/>
      <c r="F27" s="18"/>
      <c r="G27" s="18"/>
      <c r="H27" s="18"/>
    </row>
    <row r="28" customFormat="false" ht="31.5" hidden="false" customHeight="true" outlineLevel="0" collapsed="false">
      <c r="A28" s="17" t="s">
        <v>57</v>
      </c>
      <c r="B28" s="18" t="s">
        <v>58</v>
      </c>
      <c r="C28" s="18"/>
      <c r="D28" s="18"/>
      <c r="E28" s="18"/>
      <c r="F28" s="18"/>
      <c r="G28" s="18"/>
      <c r="H28" s="18"/>
    </row>
    <row r="29" customFormat="false" ht="48" hidden="false" customHeight="true" outlineLevel="0" collapsed="false">
      <c r="A29" s="17" t="s">
        <v>59</v>
      </c>
      <c r="B29" s="18" t="s">
        <v>60</v>
      </c>
      <c r="C29" s="18"/>
      <c r="D29" s="18"/>
      <c r="E29" s="18"/>
      <c r="F29" s="18"/>
      <c r="G29" s="18"/>
      <c r="H29" s="18"/>
    </row>
    <row r="30" customFormat="false" ht="63.75" hidden="false" customHeight="true" outlineLevel="0" collapsed="false">
      <c r="A30" s="17" t="s">
        <v>61</v>
      </c>
      <c r="B30" s="18" t="s">
        <v>62</v>
      </c>
      <c r="C30" s="18"/>
      <c r="D30" s="18"/>
      <c r="E30" s="18"/>
      <c r="F30" s="18"/>
      <c r="G30" s="18"/>
      <c r="H30" s="18"/>
    </row>
    <row r="31" customFormat="false" ht="31.5" hidden="false" customHeight="true" outlineLevel="0" collapsed="false">
      <c r="A31" s="17" t="s">
        <v>63</v>
      </c>
      <c r="B31" s="18" t="s">
        <v>64</v>
      </c>
      <c r="C31" s="18"/>
      <c r="D31" s="18"/>
      <c r="E31" s="18"/>
      <c r="F31" s="18"/>
      <c r="G31" s="18"/>
      <c r="H31" s="18"/>
    </row>
    <row r="32" customFormat="false" ht="31.5" hidden="false" customHeight="true" outlineLevel="0" collapsed="false">
      <c r="A32" s="17" t="s">
        <v>65</v>
      </c>
      <c r="B32" s="18" t="s">
        <v>66</v>
      </c>
      <c r="C32" s="18"/>
      <c r="D32" s="18"/>
      <c r="E32" s="18"/>
      <c r="F32" s="18"/>
      <c r="G32" s="18"/>
      <c r="H32" s="18"/>
    </row>
    <row r="33" customFormat="false" ht="15" hidden="false" customHeight="false" outlineLevel="0" collapsed="false">
      <c r="A33" s="2" t="s">
        <v>67</v>
      </c>
    </row>
  </sheetData>
  <mergeCells count="10">
    <mergeCell ref="B23:H23"/>
    <mergeCell ref="B24:H24"/>
    <mergeCell ref="B25:H25"/>
    <mergeCell ref="B26:H26"/>
    <mergeCell ref="B27:H27"/>
    <mergeCell ref="B28:H28"/>
    <mergeCell ref="B29:H29"/>
    <mergeCell ref="B30:H30"/>
    <mergeCell ref="B31:H31"/>
    <mergeCell ref="B32:H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20"/>
    <col collapsed="false" customWidth="true" hidden="false" outlineLevel="0" max="3" min="3" style="0" width="14"/>
    <col collapsed="false" customWidth="true" hidden="false" outlineLevel="0" max="4" min="4" style="0" width="9"/>
    <col collapsed="false" customWidth="true" hidden="false" outlineLevel="0" max="6" min="5" style="0" width="42"/>
    <col collapsed="false" customWidth="true" hidden="false" outlineLevel="0" max="12" min="7" style="0" width="8"/>
    <col collapsed="false" customWidth="true" hidden="false" outlineLevel="0" max="13" min="13" style="0" width="9"/>
    <col collapsed="false" customWidth="true" hidden="false" outlineLevel="0" max="14" min="14" style="0" width="44"/>
  </cols>
  <sheetData>
    <row r="1" customFormat="false" ht="52.2" hidden="false" customHeight="false" outlineLevel="0" collapsed="false">
      <c r="A1" s="3" t="s">
        <v>2</v>
      </c>
      <c r="B1" s="3" t="s">
        <v>68</v>
      </c>
      <c r="C1" s="3" t="s">
        <v>69</v>
      </c>
      <c r="D1" s="3" t="s">
        <v>70</v>
      </c>
      <c r="E1" s="3" t="s">
        <v>71</v>
      </c>
      <c r="F1" s="3" t="s">
        <v>72</v>
      </c>
      <c r="G1" s="3" t="s">
        <v>73</v>
      </c>
      <c r="H1" s="3" t="s">
        <v>74</v>
      </c>
      <c r="I1" s="3" t="s">
        <v>75</v>
      </c>
      <c r="J1" s="3" t="s">
        <v>76</v>
      </c>
      <c r="K1" s="3" t="s">
        <v>6</v>
      </c>
      <c r="L1" s="3" t="s">
        <v>7</v>
      </c>
      <c r="M1" s="3" t="s">
        <v>77</v>
      </c>
      <c r="N1" s="3" t="s">
        <v>78</v>
      </c>
    </row>
    <row r="2" customFormat="false" ht="52.2" hidden="false" customHeight="false" outlineLevel="0" collapsed="false">
      <c r="A2" s="19" t="s">
        <v>15</v>
      </c>
      <c r="B2" s="19" t="s">
        <v>40</v>
      </c>
      <c r="C2" s="19" t="s">
        <v>41</v>
      </c>
      <c r="D2" s="19" t="s">
        <v>79</v>
      </c>
      <c r="E2" s="19" t="s">
        <v>80</v>
      </c>
      <c r="F2" s="19" t="s">
        <v>81</v>
      </c>
      <c r="G2" s="20" t="n">
        <v>3</v>
      </c>
      <c r="H2" s="20" t="n">
        <v>6</v>
      </c>
      <c r="I2" s="20" t="n">
        <v>4</v>
      </c>
      <c r="J2" s="20" t="n">
        <v>42</v>
      </c>
      <c r="K2" s="21" t="n">
        <f aca="false">G2/H2</f>
        <v>0.5</v>
      </c>
      <c r="L2" s="21" t="n">
        <f aca="false">I2/J2</f>
        <v>0.0952380952380952</v>
      </c>
      <c r="M2" s="20"/>
      <c r="N2" s="22" t="s">
        <v>82</v>
      </c>
    </row>
    <row r="3" customFormat="false" ht="52.2" hidden="false" customHeight="false" outlineLevel="0" collapsed="false">
      <c r="A3" s="19" t="s">
        <v>15</v>
      </c>
      <c r="B3" s="19" t="s">
        <v>40</v>
      </c>
      <c r="C3" s="19" t="s">
        <v>41</v>
      </c>
      <c r="D3" s="19" t="s">
        <v>83</v>
      </c>
      <c r="E3" s="19" t="s">
        <v>84</v>
      </c>
      <c r="F3" s="19" t="s">
        <v>85</v>
      </c>
      <c r="G3" s="20" t="n">
        <v>6</v>
      </c>
      <c r="H3" s="20" t="n">
        <v>8</v>
      </c>
      <c r="I3" s="20" t="n">
        <v>7</v>
      </c>
      <c r="J3" s="20" t="n">
        <v>53</v>
      </c>
      <c r="K3" s="21" t="n">
        <f aca="false">G3/H3</f>
        <v>0.75</v>
      </c>
      <c r="L3" s="21" t="n">
        <f aca="false">I3/J3</f>
        <v>0.132075471698113</v>
      </c>
      <c r="M3" s="20"/>
      <c r="N3" s="22" t="s">
        <v>86</v>
      </c>
    </row>
    <row r="4" customFormat="false" ht="52.2" hidden="false" customHeight="false" outlineLevel="0" collapsed="false">
      <c r="A4" s="19" t="s">
        <v>15</v>
      </c>
      <c r="B4" s="19" t="s">
        <v>40</v>
      </c>
      <c r="C4" s="19" t="s">
        <v>41</v>
      </c>
      <c r="D4" s="19" t="s">
        <v>87</v>
      </c>
      <c r="E4" s="19" t="s">
        <v>88</v>
      </c>
      <c r="F4" s="19" t="s">
        <v>89</v>
      </c>
      <c r="G4" s="20" t="n">
        <v>10</v>
      </c>
      <c r="H4" s="20" t="n">
        <v>8</v>
      </c>
      <c r="I4" s="20" t="n">
        <v>22</v>
      </c>
      <c r="J4" s="20" t="n">
        <v>69</v>
      </c>
      <c r="K4" s="21" t="n">
        <f aca="false">G4/H4</f>
        <v>1.25</v>
      </c>
      <c r="L4" s="21" t="n">
        <f aca="false">I4/J4</f>
        <v>0.318840579710145</v>
      </c>
      <c r="M4" s="20"/>
      <c r="N4" s="22" t="s">
        <v>90</v>
      </c>
    </row>
    <row r="5" customFormat="false" ht="52.2" hidden="false" customHeight="false" outlineLevel="0" collapsed="false">
      <c r="A5" s="19" t="s">
        <v>15</v>
      </c>
      <c r="B5" s="19" t="s">
        <v>40</v>
      </c>
      <c r="C5" s="19" t="s">
        <v>41</v>
      </c>
      <c r="D5" s="19" t="s">
        <v>91</v>
      </c>
      <c r="E5" s="19" t="s">
        <v>92</v>
      </c>
      <c r="F5" s="19" t="s">
        <v>93</v>
      </c>
      <c r="G5" s="20" t="n">
        <v>4</v>
      </c>
      <c r="H5" s="20" t="n">
        <v>10</v>
      </c>
      <c r="I5" s="20" t="n">
        <v>5</v>
      </c>
      <c r="J5" s="20" t="n">
        <v>55</v>
      </c>
      <c r="K5" s="21" t="n">
        <f aca="false">G5/H5</f>
        <v>0.4</v>
      </c>
      <c r="L5" s="21" t="n">
        <f aca="false">I5/J5</f>
        <v>0.0909090909090909</v>
      </c>
      <c r="M5" s="20"/>
      <c r="N5" s="22" t="s">
        <v>94</v>
      </c>
    </row>
    <row r="6" customFormat="false" ht="52.2" hidden="false" customHeight="false" outlineLevel="0" collapsed="false">
      <c r="A6" s="19" t="s">
        <v>15</v>
      </c>
      <c r="B6" s="19" t="s">
        <v>40</v>
      </c>
      <c r="C6" s="19" t="s">
        <v>41</v>
      </c>
      <c r="D6" s="19" t="s">
        <v>95</v>
      </c>
      <c r="E6" s="19" t="s">
        <v>96</v>
      </c>
      <c r="F6" s="19" t="s">
        <v>97</v>
      </c>
      <c r="G6" s="20" t="n">
        <v>7</v>
      </c>
      <c r="H6" s="20" t="n">
        <v>9</v>
      </c>
      <c r="I6" s="20" t="n">
        <v>8</v>
      </c>
      <c r="J6" s="20" t="n">
        <v>44</v>
      </c>
      <c r="K6" s="21" t="n">
        <f aca="false">G6/H6</f>
        <v>0.777777777777778</v>
      </c>
      <c r="L6" s="21" t="n">
        <f aca="false">I6/J6</f>
        <v>0.181818181818182</v>
      </c>
      <c r="M6" s="20"/>
      <c r="N6" s="22" t="s">
        <v>98</v>
      </c>
    </row>
    <row r="7" customFormat="false" ht="52.2" hidden="false" customHeight="false" outlineLevel="0" collapsed="false">
      <c r="A7" s="19" t="s">
        <v>15</v>
      </c>
      <c r="B7" s="19" t="s">
        <v>40</v>
      </c>
      <c r="C7" s="19" t="s">
        <v>41</v>
      </c>
      <c r="D7" s="19" t="s">
        <v>99</v>
      </c>
      <c r="E7" s="19" t="s">
        <v>100</v>
      </c>
      <c r="F7" s="19" t="s">
        <v>101</v>
      </c>
      <c r="G7" s="20" t="n">
        <v>2</v>
      </c>
      <c r="H7" s="20" t="n">
        <v>6</v>
      </c>
      <c r="I7" s="20" t="n">
        <v>2</v>
      </c>
      <c r="J7" s="20" t="n">
        <v>35</v>
      </c>
      <c r="K7" s="21" t="n">
        <f aca="false">G7/H7</f>
        <v>0.333333333333333</v>
      </c>
      <c r="L7" s="21" t="n">
        <f aca="false">I7/J7</f>
        <v>0.0571428571428571</v>
      </c>
      <c r="M7" s="20"/>
      <c r="N7" s="22" t="s">
        <v>102</v>
      </c>
    </row>
    <row r="8" customFormat="false" ht="52.2" hidden="false" customHeight="false" outlineLevel="0" collapsed="false">
      <c r="A8" s="19" t="s">
        <v>15</v>
      </c>
      <c r="B8" s="19" t="s">
        <v>40</v>
      </c>
      <c r="C8" s="19" t="s">
        <v>41</v>
      </c>
      <c r="D8" s="19" t="s">
        <v>103</v>
      </c>
      <c r="E8" s="19" t="s">
        <v>104</v>
      </c>
      <c r="F8" s="19" t="s">
        <v>105</v>
      </c>
      <c r="G8" s="20" t="n">
        <v>9</v>
      </c>
      <c r="H8" s="20" t="n">
        <v>13</v>
      </c>
      <c r="I8" s="20" t="n">
        <v>34</v>
      </c>
      <c r="J8" s="20" t="n">
        <v>67</v>
      </c>
      <c r="K8" s="21" t="n">
        <f aca="false">G8/H8</f>
        <v>0.692307692307692</v>
      </c>
      <c r="L8" s="21" t="n">
        <f aca="false">I8/J8</f>
        <v>0.507462686567164</v>
      </c>
      <c r="M8" s="20"/>
      <c r="N8" s="22" t="s">
        <v>106</v>
      </c>
    </row>
    <row r="9" customFormat="false" ht="52.2" hidden="false" customHeight="false" outlineLevel="0" collapsed="false">
      <c r="A9" s="19" t="s">
        <v>15</v>
      </c>
      <c r="B9" s="19" t="s">
        <v>40</v>
      </c>
      <c r="C9" s="19" t="s">
        <v>41</v>
      </c>
      <c r="D9" s="19" t="s">
        <v>107</v>
      </c>
      <c r="E9" s="19" t="s">
        <v>108</v>
      </c>
      <c r="F9" s="19" t="s">
        <v>109</v>
      </c>
      <c r="G9" s="20" t="n">
        <v>15</v>
      </c>
      <c r="H9" s="20" t="n">
        <v>11</v>
      </c>
      <c r="I9" s="20" t="n">
        <v>62</v>
      </c>
      <c r="J9" s="20" t="n">
        <v>60</v>
      </c>
      <c r="K9" s="21" t="n">
        <f aca="false">G9/H9</f>
        <v>1.36363636363636</v>
      </c>
      <c r="L9" s="21" t="n">
        <f aca="false">I9/J9</f>
        <v>1.03333333333333</v>
      </c>
      <c r="M9" s="20"/>
      <c r="N9" s="22" t="s">
        <v>110</v>
      </c>
    </row>
    <row r="10" customFormat="false" ht="52.2" hidden="false" customHeight="false" outlineLevel="0" collapsed="false">
      <c r="A10" s="19" t="s">
        <v>15</v>
      </c>
      <c r="B10" s="19" t="s">
        <v>40</v>
      </c>
      <c r="C10" s="19" t="s">
        <v>41</v>
      </c>
      <c r="D10" s="19" t="s">
        <v>111</v>
      </c>
      <c r="E10" s="19" t="s">
        <v>112</v>
      </c>
      <c r="F10" s="19" t="s">
        <v>113</v>
      </c>
      <c r="G10" s="20" t="n">
        <v>5</v>
      </c>
      <c r="H10" s="20" t="n">
        <v>8</v>
      </c>
      <c r="I10" s="20" t="n">
        <v>5</v>
      </c>
      <c r="J10" s="20" t="n">
        <v>53</v>
      </c>
      <c r="K10" s="21" t="n">
        <f aca="false">G10/H10</f>
        <v>0.625</v>
      </c>
      <c r="L10" s="21" t="n">
        <f aca="false">I10/J10</f>
        <v>0.0943396226415094</v>
      </c>
      <c r="M10" s="20"/>
      <c r="N10" s="22" t="s">
        <v>114</v>
      </c>
    </row>
    <row r="11" customFormat="false" ht="52.2" hidden="false" customHeight="false" outlineLevel="0" collapsed="false">
      <c r="A11" s="19" t="s">
        <v>15</v>
      </c>
      <c r="B11" s="19" t="s">
        <v>40</v>
      </c>
      <c r="C11" s="19" t="s">
        <v>41</v>
      </c>
      <c r="D11" s="19" t="s">
        <v>115</v>
      </c>
      <c r="E11" s="19" t="s">
        <v>116</v>
      </c>
      <c r="F11" s="19" t="s">
        <v>117</v>
      </c>
      <c r="G11" s="20" t="n">
        <v>10</v>
      </c>
      <c r="H11" s="20" t="n">
        <v>12</v>
      </c>
      <c r="I11" s="20" t="n">
        <v>14</v>
      </c>
      <c r="J11" s="20" t="n">
        <v>73</v>
      </c>
      <c r="K11" s="21" t="n">
        <f aca="false">G11/H11</f>
        <v>0.833333333333333</v>
      </c>
      <c r="L11" s="21" t="n">
        <f aca="false">I11/J11</f>
        <v>0.191780821917808</v>
      </c>
      <c r="M11" s="20"/>
      <c r="N11" s="22" t="s">
        <v>118</v>
      </c>
    </row>
    <row r="12" customFormat="false" ht="64.9" hidden="false" customHeight="false" outlineLevel="0" collapsed="false">
      <c r="A12" s="19" t="s">
        <v>15</v>
      </c>
      <c r="B12" s="19" t="s">
        <v>42</v>
      </c>
      <c r="C12" s="19" t="s">
        <v>43</v>
      </c>
      <c r="D12" s="19" t="s">
        <v>79</v>
      </c>
      <c r="E12" s="19" t="s">
        <v>80</v>
      </c>
      <c r="F12" s="19" t="s">
        <v>119</v>
      </c>
      <c r="G12" s="20" t="n">
        <v>1</v>
      </c>
      <c r="H12" s="20" t="n">
        <v>6</v>
      </c>
      <c r="I12" s="20" t="n">
        <v>2</v>
      </c>
      <c r="J12" s="20" t="n">
        <v>42</v>
      </c>
      <c r="K12" s="21" t="n">
        <f aca="false">G12/H12</f>
        <v>0.166666666666667</v>
      </c>
      <c r="L12" s="21" t="n">
        <f aca="false">I12/J12</f>
        <v>0.0476190476190476</v>
      </c>
      <c r="M12" s="20"/>
      <c r="N12" s="22" t="s">
        <v>120</v>
      </c>
    </row>
    <row r="13" customFormat="false" ht="64.9" hidden="false" customHeight="false" outlineLevel="0" collapsed="false">
      <c r="A13" s="19" t="s">
        <v>15</v>
      </c>
      <c r="B13" s="19" t="s">
        <v>42</v>
      </c>
      <c r="C13" s="19" t="s">
        <v>43</v>
      </c>
      <c r="D13" s="19" t="s">
        <v>83</v>
      </c>
      <c r="E13" s="19" t="s">
        <v>84</v>
      </c>
      <c r="F13" s="19" t="s">
        <v>121</v>
      </c>
      <c r="G13" s="20" t="n">
        <v>4</v>
      </c>
      <c r="H13" s="20" t="n">
        <v>8</v>
      </c>
      <c r="I13" s="20" t="n">
        <v>6</v>
      </c>
      <c r="J13" s="20" t="n">
        <v>53</v>
      </c>
      <c r="K13" s="21" t="n">
        <f aca="false">G13/H13</f>
        <v>0.5</v>
      </c>
      <c r="L13" s="21" t="n">
        <f aca="false">I13/J13</f>
        <v>0.113207547169811</v>
      </c>
      <c r="M13" s="20"/>
      <c r="N13" s="22" t="s">
        <v>122</v>
      </c>
    </row>
    <row r="14" customFormat="false" ht="64.9" hidden="false" customHeight="false" outlineLevel="0" collapsed="false">
      <c r="A14" s="19" t="s">
        <v>15</v>
      </c>
      <c r="B14" s="19" t="s">
        <v>42</v>
      </c>
      <c r="C14" s="19" t="s">
        <v>43</v>
      </c>
      <c r="D14" s="19" t="s">
        <v>87</v>
      </c>
      <c r="E14" s="19" t="s">
        <v>88</v>
      </c>
      <c r="F14" s="19" t="s">
        <v>123</v>
      </c>
      <c r="G14" s="20" t="n">
        <v>5</v>
      </c>
      <c r="H14" s="20" t="n">
        <v>8</v>
      </c>
      <c r="I14" s="20" t="n">
        <v>6</v>
      </c>
      <c r="J14" s="20" t="n">
        <v>69</v>
      </c>
      <c r="K14" s="21" t="n">
        <f aca="false">G14/H14</f>
        <v>0.625</v>
      </c>
      <c r="L14" s="21" t="n">
        <f aca="false">I14/J14</f>
        <v>0.0869565217391304</v>
      </c>
      <c r="M14" s="20"/>
      <c r="N14" s="22" t="s">
        <v>124</v>
      </c>
    </row>
    <row r="15" customFormat="false" ht="64.9" hidden="false" customHeight="false" outlineLevel="0" collapsed="false">
      <c r="A15" s="19" t="s">
        <v>15</v>
      </c>
      <c r="B15" s="19" t="s">
        <v>42</v>
      </c>
      <c r="C15" s="19" t="s">
        <v>43</v>
      </c>
      <c r="D15" s="19" t="s">
        <v>91</v>
      </c>
      <c r="E15" s="19" t="s">
        <v>92</v>
      </c>
      <c r="F15" s="19" t="s">
        <v>125</v>
      </c>
      <c r="G15" s="20" t="n">
        <v>7</v>
      </c>
      <c r="H15" s="20" t="n">
        <v>10</v>
      </c>
      <c r="I15" s="20" t="n">
        <v>7</v>
      </c>
      <c r="J15" s="20" t="n">
        <v>55</v>
      </c>
      <c r="K15" s="21" t="n">
        <f aca="false">G15/H15</f>
        <v>0.7</v>
      </c>
      <c r="L15" s="21" t="n">
        <f aca="false">I15/J15</f>
        <v>0.127272727272727</v>
      </c>
      <c r="M15" s="20"/>
      <c r="N15" s="22" t="s">
        <v>126</v>
      </c>
    </row>
    <row r="16" customFormat="false" ht="64.9" hidden="false" customHeight="false" outlineLevel="0" collapsed="false">
      <c r="A16" s="19" t="s">
        <v>15</v>
      </c>
      <c r="B16" s="19" t="s">
        <v>42</v>
      </c>
      <c r="C16" s="19" t="s">
        <v>43</v>
      </c>
      <c r="D16" s="19" t="s">
        <v>95</v>
      </c>
      <c r="E16" s="19" t="s">
        <v>96</v>
      </c>
      <c r="F16" s="19" t="s">
        <v>127</v>
      </c>
      <c r="G16" s="20" t="n">
        <v>7</v>
      </c>
      <c r="H16" s="20" t="n">
        <v>9</v>
      </c>
      <c r="I16" s="20" t="n">
        <v>6</v>
      </c>
      <c r="J16" s="20" t="n">
        <v>44</v>
      </c>
      <c r="K16" s="21" t="n">
        <f aca="false">G16/H16</f>
        <v>0.777777777777778</v>
      </c>
      <c r="L16" s="21" t="n">
        <f aca="false">I16/J16</f>
        <v>0.136363636363636</v>
      </c>
      <c r="M16" s="20"/>
      <c r="N16" s="22" t="s">
        <v>128</v>
      </c>
    </row>
    <row r="17" customFormat="false" ht="64.9" hidden="false" customHeight="false" outlineLevel="0" collapsed="false">
      <c r="A17" s="19" t="s">
        <v>15</v>
      </c>
      <c r="B17" s="19" t="s">
        <v>42</v>
      </c>
      <c r="C17" s="19" t="s">
        <v>43</v>
      </c>
      <c r="D17" s="19" t="s">
        <v>99</v>
      </c>
      <c r="E17" s="19" t="s">
        <v>100</v>
      </c>
      <c r="F17" s="19" t="s">
        <v>129</v>
      </c>
      <c r="G17" s="20" t="n">
        <v>2</v>
      </c>
      <c r="H17" s="20" t="n">
        <v>6</v>
      </c>
      <c r="I17" s="20" t="n">
        <v>2</v>
      </c>
      <c r="J17" s="20" t="n">
        <v>35</v>
      </c>
      <c r="K17" s="21" t="n">
        <f aca="false">G17/H17</f>
        <v>0.333333333333333</v>
      </c>
      <c r="L17" s="21" t="n">
        <f aca="false">I17/J17</f>
        <v>0.0571428571428571</v>
      </c>
      <c r="M17" s="20"/>
      <c r="N17" s="22" t="s">
        <v>130</v>
      </c>
    </row>
    <row r="18" customFormat="false" ht="64.9" hidden="false" customHeight="false" outlineLevel="0" collapsed="false">
      <c r="A18" s="19" t="s">
        <v>15</v>
      </c>
      <c r="B18" s="19" t="s">
        <v>42</v>
      </c>
      <c r="C18" s="19" t="s">
        <v>43</v>
      </c>
      <c r="D18" s="19" t="s">
        <v>103</v>
      </c>
      <c r="E18" s="19" t="s">
        <v>131</v>
      </c>
      <c r="F18" s="19" t="s">
        <v>132</v>
      </c>
      <c r="G18" s="20" t="n">
        <v>10</v>
      </c>
      <c r="H18" s="20" t="n">
        <v>10</v>
      </c>
      <c r="I18" s="20" t="n">
        <v>10</v>
      </c>
      <c r="J18" s="20" t="n">
        <v>58</v>
      </c>
      <c r="K18" s="21" t="n">
        <f aca="false">G18/H18</f>
        <v>1</v>
      </c>
      <c r="L18" s="21" t="n">
        <f aca="false">I18/J18</f>
        <v>0.172413793103448</v>
      </c>
      <c r="M18" s="20"/>
      <c r="N18" s="22" t="s">
        <v>133</v>
      </c>
    </row>
    <row r="19" customFormat="false" ht="64.9" hidden="false" customHeight="false" outlineLevel="0" collapsed="false">
      <c r="A19" s="19" t="s">
        <v>15</v>
      </c>
      <c r="B19" s="19" t="s">
        <v>42</v>
      </c>
      <c r="C19" s="19" t="s">
        <v>43</v>
      </c>
      <c r="D19" s="19" t="s">
        <v>107</v>
      </c>
      <c r="E19" s="19" t="s">
        <v>108</v>
      </c>
      <c r="F19" s="19" t="s">
        <v>134</v>
      </c>
      <c r="G19" s="20" t="n">
        <v>7</v>
      </c>
      <c r="H19" s="20" t="n">
        <v>11</v>
      </c>
      <c r="I19" s="20" t="n">
        <v>8</v>
      </c>
      <c r="J19" s="20" t="n">
        <v>60</v>
      </c>
      <c r="K19" s="21" t="n">
        <f aca="false">G19/H19</f>
        <v>0.636363636363636</v>
      </c>
      <c r="L19" s="21" t="n">
        <f aca="false">I19/J19</f>
        <v>0.133333333333333</v>
      </c>
      <c r="M19" s="20"/>
      <c r="N19" s="22" t="s">
        <v>135</v>
      </c>
    </row>
    <row r="20" customFormat="false" ht="64.9" hidden="false" customHeight="false" outlineLevel="0" collapsed="false">
      <c r="A20" s="19" t="s">
        <v>15</v>
      </c>
      <c r="B20" s="19" t="s">
        <v>42</v>
      </c>
      <c r="C20" s="19" t="s">
        <v>43</v>
      </c>
      <c r="D20" s="19" t="s">
        <v>111</v>
      </c>
      <c r="E20" s="19" t="s">
        <v>112</v>
      </c>
      <c r="F20" s="19" t="s">
        <v>136</v>
      </c>
      <c r="G20" s="20" t="n">
        <v>7</v>
      </c>
      <c r="H20" s="20" t="n">
        <v>8</v>
      </c>
      <c r="I20" s="20" t="n">
        <v>6</v>
      </c>
      <c r="J20" s="20" t="n">
        <v>53</v>
      </c>
      <c r="K20" s="21" t="n">
        <f aca="false">G20/H20</f>
        <v>0.875</v>
      </c>
      <c r="L20" s="21" t="n">
        <f aca="false">I20/J20</f>
        <v>0.113207547169811</v>
      </c>
      <c r="M20" s="20"/>
      <c r="N20" s="22" t="s">
        <v>137</v>
      </c>
    </row>
    <row r="21" customFormat="false" ht="64.9" hidden="false" customHeight="false" outlineLevel="0" collapsed="false">
      <c r="A21" s="19" t="s">
        <v>15</v>
      </c>
      <c r="B21" s="19" t="s">
        <v>42</v>
      </c>
      <c r="C21" s="19" t="s">
        <v>43</v>
      </c>
      <c r="D21" s="19" t="s">
        <v>115</v>
      </c>
      <c r="E21" s="19" t="s">
        <v>116</v>
      </c>
      <c r="F21" s="19" t="s">
        <v>138</v>
      </c>
      <c r="G21" s="20" t="n">
        <v>8</v>
      </c>
      <c r="H21" s="20" t="n">
        <v>12</v>
      </c>
      <c r="I21" s="20" t="n">
        <v>12</v>
      </c>
      <c r="J21" s="20" t="n">
        <v>73</v>
      </c>
      <c r="K21" s="21" t="n">
        <f aca="false">G21/H21</f>
        <v>0.666666666666667</v>
      </c>
      <c r="L21" s="21" t="n">
        <f aca="false">I21/J21</f>
        <v>0.164383561643836</v>
      </c>
      <c r="M21" s="20"/>
      <c r="N21" s="22" t="s">
        <v>139</v>
      </c>
    </row>
    <row r="22" customFormat="false" ht="52.2" hidden="false" customHeight="false" outlineLevel="0" collapsed="false">
      <c r="A22" s="19" t="s">
        <v>15</v>
      </c>
      <c r="B22" s="19" t="s">
        <v>44</v>
      </c>
      <c r="C22" s="19" t="s">
        <v>45</v>
      </c>
      <c r="D22" s="19" t="s">
        <v>79</v>
      </c>
      <c r="E22" s="19" t="s">
        <v>80</v>
      </c>
      <c r="F22" s="19" t="s">
        <v>140</v>
      </c>
      <c r="G22" s="20" t="n">
        <v>4</v>
      </c>
      <c r="H22" s="20" t="n">
        <v>6</v>
      </c>
      <c r="I22" s="20" t="n">
        <v>5</v>
      </c>
      <c r="J22" s="20" t="n">
        <v>42</v>
      </c>
      <c r="K22" s="21" t="n">
        <f aca="false">G22/H22</f>
        <v>0.666666666666667</v>
      </c>
      <c r="L22" s="21" t="n">
        <f aca="false">I22/J22</f>
        <v>0.119047619047619</v>
      </c>
      <c r="M22" s="20"/>
      <c r="N22" s="22" t="s">
        <v>141</v>
      </c>
    </row>
    <row r="23" customFormat="false" ht="52.2" hidden="false" customHeight="false" outlineLevel="0" collapsed="false">
      <c r="A23" s="19" t="s">
        <v>15</v>
      </c>
      <c r="B23" s="19" t="s">
        <v>44</v>
      </c>
      <c r="C23" s="19" t="s">
        <v>45</v>
      </c>
      <c r="D23" s="19" t="s">
        <v>83</v>
      </c>
      <c r="E23" s="19" t="s">
        <v>84</v>
      </c>
      <c r="F23" s="19" t="s">
        <v>142</v>
      </c>
      <c r="G23" s="20" t="n">
        <v>7</v>
      </c>
      <c r="H23" s="20" t="n">
        <v>8</v>
      </c>
      <c r="I23" s="20" t="n">
        <v>11</v>
      </c>
      <c r="J23" s="20" t="n">
        <v>53</v>
      </c>
      <c r="K23" s="21" t="n">
        <f aca="false">G23/H23</f>
        <v>0.875</v>
      </c>
      <c r="L23" s="21" t="n">
        <f aca="false">I23/J23</f>
        <v>0.207547169811321</v>
      </c>
      <c r="M23" s="20"/>
      <c r="N23" s="22" t="s">
        <v>143</v>
      </c>
    </row>
    <row r="24" customFormat="false" ht="52.2" hidden="false" customHeight="false" outlineLevel="0" collapsed="false">
      <c r="A24" s="19" t="s">
        <v>15</v>
      </c>
      <c r="B24" s="19" t="s">
        <v>44</v>
      </c>
      <c r="C24" s="19" t="s">
        <v>45</v>
      </c>
      <c r="D24" s="19" t="s">
        <v>87</v>
      </c>
      <c r="E24" s="19" t="s">
        <v>88</v>
      </c>
      <c r="F24" s="19" t="s">
        <v>144</v>
      </c>
      <c r="G24" s="20" t="n">
        <v>7</v>
      </c>
      <c r="H24" s="20" t="n">
        <v>8</v>
      </c>
      <c r="I24" s="20" t="n">
        <v>8</v>
      </c>
      <c r="J24" s="20" t="n">
        <v>69</v>
      </c>
      <c r="K24" s="21" t="n">
        <f aca="false">G24/H24</f>
        <v>0.875</v>
      </c>
      <c r="L24" s="21" t="n">
        <f aca="false">I24/J24</f>
        <v>0.115942028985507</v>
      </c>
      <c r="M24" s="20"/>
      <c r="N24" s="22" t="s">
        <v>145</v>
      </c>
    </row>
    <row r="25" customFormat="false" ht="52.2" hidden="false" customHeight="false" outlineLevel="0" collapsed="false">
      <c r="A25" s="19" t="s">
        <v>15</v>
      </c>
      <c r="B25" s="19" t="s">
        <v>44</v>
      </c>
      <c r="C25" s="19" t="s">
        <v>45</v>
      </c>
      <c r="D25" s="19" t="s">
        <v>91</v>
      </c>
      <c r="E25" s="19" t="s">
        <v>92</v>
      </c>
      <c r="F25" s="19" t="s">
        <v>146</v>
      </c>
      <c r="G25" s="20" t="n">
        <v>5</v>
      </c>
      <c r="H25" s="20" t="n">
        <v>10</v>
      </c>
      <c r="I25" s="20" t="n">
        <v>5</v>
      </c>
      <c r="J25" s="20" t="n">
        <v>55</v>
      </c>
      <c r="K25" s="21" t="n">
        <f aca="false">G25/H25</f>
        <v>0.5</v>
      </c>
      <c r="L25" s="21" t="n">
        <f aca="false">I25/J25</f>
        <v>0.0909090909090909</v>
      </c>
      <c r="M25" s="20"/>
      <c r="N25" s="22" t="s">
        <v>147</v>
      </c>
    </row>
    <row r="26" customFormat="false" ht="52.2" hidden="false" customHeight="false" outlineLevel="0" collapsed="false">
      <c r="A26" s="19" t="s">
        <v>15</v>
      </c>
      <c r="B26" s="19" t="s">
        <v>44</v>
      </c>
      <c r="C26" s="19" t="s">
        <v>45</v>
      </c>
      <c r="D26" s="19" t="s">
        <v>95</v>
      </c>
      <c r="E26" s="19" t="s">
        <v>96</v>
      </c>
      <c r="F26" s="19" t="s">
        <v>148</v>
      </c>
      <c r="G26" s="20" t="n">
        <v>6</v>
      </c>
      <c r="H26" s="20" t="n">
        <v>9</v>
      </c>
      <c r="I26" s="20" t="n">
        <v>5</v>
      </c>
      <c r="J26" s="20" t="n">
        <v>44</v>
      </c>
      <c r="K26" s="21" t="n">
        <f aca="false">G26/H26</f>
        <v>0.666666666666667</v>
      </c>
      <c r="L26" s="21" t="n">
        <f aca="false">I26/J26</f>
        <v>0.113636363636364</v>
      </c>
      <c r="M26" s="20"/>
      <c r="N26" s="22" t="s">
        <v>149</v>
      </c>
    </row>
    <row r="27" customFormat="false" ht="52.2" hidden="false" customHeight="false" outlineLevel="0" collapsed="false">
      <c r="A27" s="19" t="s">
        <v>15</v>
      </c>
      <c r="B27" s="19" t="s">
        <v>44</v>
      </c>
      <c r="C27" s="19" t="s">
        <v>45</v>
      </c>
      <c r="D27" s="19" t="s">
        <v>99</v>
      </c>
      <c r="E27" s="19" t="s">
        <v>100</v>
      </c>
      <c r="F27" s="19" t="s">
        <v>150</v>
      </c>
      <c r="G27" s="20" t="n">
        <v>5</v>
      </c>
      <c r="H27" s="20" t="n">
        <v>6</v>
      </c>
      <c r="I27" s="20" t="n">
        <v>3</v>
      </c>
      <c r="J27" s="20" t="n">
        <v>35</v>
      </c>
      <c r="K27" s="21" t="n">
        <f aca="false">G27/H27</f>
        <v>0.833333333333333</v>
      </c>
      <c r="L27" s="21" t="n">
        <f aca="false">I27/J27</f>
        <v>0.0857142857142857</v>
      </c>
      <c r="M27" s="20"/>
      <c r="N27" s="22" t="s">
        <v>151</v>
      </c>
    </row>
    <row r="28" customFormat="false" ht="52.2" hidden="false" customHeight="false" outlineLevel="0" collapsed="false">
      <c r="A28" s="19" t="s">
        <v>15</v>
      </c>
      <c r="B28" s="19" t="s">
        <v>44</v>
      </c>
      <c r="C28" s="19" t="s">
        <v>45</v>
      </c>
      <c r="D28" s="19" t="s">
        <v>103</v>
      </c>
      <c r="E28" s="19" t="s">
        <v>131</v>
      </c>
      <c r="F28" s="19" t="s">
        <v>152</v>
      </c>
      <c r="G28" s="20" t="n">
        <v>6</v>
      </c>
      <c r="H28" s="20" t="n">
        <v>10</v>
      </c>
      <c r="I28" s="20" t="n">
        <v>4</v>
      </c>
      <c r="J28" s="20" t="n">
        <v>58</v>
      </c>
      <c r="K28" s="21" t="n">
        <f aca="false">G28/H28</f>
        <v>0.6</v>
      </c>
      <c r="L28" s="21" t="n">
        <f aca="false">I28/J28</f>
        <v>0.0689655172413793</v>
      </c>
      <c r="M28" s="20"/>
      <c r="N28" s="22" t="s">
        <v>153</v>
      </c>
    </row>
    <row r="29" customFormat="false" ht="52.2" hidden="false" customHeight="false" outlineLevel="0" collapsed="false">
      <c r="A29" s="19" t="s">
        <v>15</v>
      </c>
      <c r="B29" s="19" t="s">
        <v>44</v>
      </c>
      <c r="C29" s="19" t="s">
        <v>45</v>
      </c>
      <c r="D29" s="19" t="s">
        <v>107</v>
      </c>
      <c r="E29" s="19" t="s">
        <v>108</v>
      </c>
      <c r="F29" s="19" t="s">
        <v>154</v>
      </c>
      <c r="G29" s="20" t="n">
        <v>8</v>
      </c>
      <c r="H29" s="20" t="n">
        <v>11</v>
      </c>
      <c r="I29" s="20" t="n">
        <v>5</v>
      </c>
      <c r="J29" s="20" t="n">
        <v>60</v>
      </c>
      <c r="K29" s="21" t="n">
        <f aca="false">G29/H29</f>
        <v>0.727272727272727</v>
      </c>
      <c r="L29" s="21" t="n">
        <f aca="false">I29/J29</f>
        <v>0.0833333333333333</v>
      </c>
      <c r="M29" s="20"/>
      <c r="N29" s="22" t="s">
        <v>155</v>
      </c>
    </row>
    <row r="30" customFormat="false" ht="52.2" hidden="false" customHeight="false" outlineLevel="0" collapsed="false">
      <c r="A30" s="19" t="s">
        <v>15</v>
      </c>
      <c r="B30" s="19" t="s">
        <v>44</v>
      </c>
      <c r="C30" s="19" t="s">
        <v>45</v>
      </c>
      <c r="D30" s="19" t="s">
        <v>111</v>
      </c>
      <c r="E30" s="19" t="s">
        <v>112</v>
      </c>
      <c r="F30" s="19" t="s">
        <v>156</v>
      </c>
      <c r="G30" s="20" t="n">
        <v>5</v>
      </c>
      <c r="H30" s="20" t="n">
        <v>8</v>
      </c>
      <c r="I30" s="20" t="n">
        <v>5</v>
      </c>
      <c r="J30" s="20" t="n">
        <v>53</v>
      </c>
      <c r="K30" s="21" t="n">
        <f aca="false">G30/H30</f>
        <v>0.625</v>
      </c>
      <c r="L30" s="21" t="n">
        <f aca="false">I30/J30</f>
        <v>0.0943396226415094</v>
      </c>
      <c r="M30" s="20"/>
      <c r="N30" s="22" t="s">
        <v>157</v>
      </c>
    </row>
    <row r="31" customFormat="false" ht="52.2" hidden="false" customHeight="false" outlineLevel="0" collapsed="false">
      <c r="A31" s="19" t="s">
        <v>15</v>
      </c>
      <c r="B31" s="19" t="s">
        <v>44</v>
      </c>
      <c r="C31" s="19" t="s">
        <v>45</v>
      </c>
      <c r="D31" s="19" t="s">
        <v>115</v>
      </c>
      <c r="E31" s="19" t="s">
        <v>116</v>
      </c>
      <c r="F31" s="19" t="s">
        <v>158</v>
      </c>
      <c r="G31" s="20" t="n">
        <v>11</v>
      </c>
      <c r="H31" s="20" t="n">
        <v>12</v>
      </c>
      <c r="I31" s="20" t="n">
        <v>14</v>
      </c>
      <c r="J31" s="20" t="n">
        <v>73</v>
      </c>
      <c r="K31" s="21" t="n">
        <f aca="false">G31/H31</f>
        <v>0.916666666666667</v>
      </c>
      <c r="L31" s="21" t="n">
        <f aca="false">I31/J31</f>
        <v>0.191780821917808</v>
      </c>
      <c r="M31" s="20"/>
      <c r="N31" s="22" t="s">
        <v>159</v>
      </c>
    </row>
    <row r="32" customFormat="false" ht="52.2" hidden="false" customHeight="false" outlineLevel="0" collapsed="false">
      <c r="A32" s="19" t="s">
        <v>18</v>
      </c>
      <c r="B32" s="19" t="s">
        <v>40</v>
      </c>
      <c r="C32" s="19" t="s">
        <v>41</v>
      </c>
      <c r="D32" s="19" t="s">
        <v>79</v>
      </c>
      <c r="E32" s="19" t="s">
        <v>80</v>
      </c>
      <c r="F32" s="19" t="s">
        <v>81</v>
      </c>
      <c r="G32" s="20" t="n">
        <v>3</v>
      </c>
      <c r="H32" s="20" t="n">
        <v>6</v>
      </c>
      <c r="I32" s="20" t="n">
        <v>4</v>
      </c>
      <c r="J32" s="20" t="n">
        <v>42</v>
      </c>
      <c r="K32" s="21" t="n">
        <f aca="false">G32/H32</f>
        <v>0.5</v>
      </c>
      <c r="L32" s="21" t="n">
        <f aca="false">I32/J32</f>
        <v>0.0952380952380952</v>
      </c>
      <c r="M32" s="20" t="n">
        <v>0.6</v>
      </c>
      <c r="N32" s="22" t="s">
        <v>82</v>
      </c>
    </row>
    <row r="33" customFormat="false" ht="52.2" hidden="false" customHeight="false" outlineLevel="0" collapsed="false">
      <c r="A33" s="19" t="s">
        <v>18</v>
      </c>
      <c r="B33" s="19" t="s">
        <v>40</v>
      </c>
      <c r="C33" s="19" t="s">
        <v>41</v>
      </c>
      <c r="D33" s="19" t="s">
        <v>83</v>
      </c>
      <c r="E33" s="19" t="s">
        <v>84</v>
      </c>
      <c r="F33" s="19" t="s">
        <v>85</v>
      </c>
      <c r="G33" s="20" t="n">
        <v>6</v>
      </c>
      <c r="H33" s="20" t="n">
        <v>8</v>
      </c>
      <c r="I33" s="20" t="n">
        <v>7</v>
      </c>
      <c r="J33" s="20" t="n">
        <v>53</v>
      </c>
      <c r="K33" s="21" t="n">
        <f aca="false">G33/H33</f>
        <v>0.75</v>
      </c>
      <c r="L33" s="21" t="n">
        <f aca="false">I33/J33</f>
        <v>0.132075471698113</v>
      </c>
      <c r="M33" s="20" t="n">
        <v>0.5</v>
      </c>
      <c r="N33" s="22" t="s">
        <v>86</v>
      </c>
    </row>
    <row r="34" customFormat="false" ht="52.2" hidden="false" customHeight="false" outlineLevel="0" collapsed="false">
      <c r="A34" s="19" t="s">
        <v>18</v>
      </c>
      <c r="B34" s="19" t="s">
        <v>40</v>
      </c>
      <c r="C34" s="19" t="s">
        <v>41</v>
      </c>
      <c r="D34" s="19" t="s">
        <v>87</v>
      </c>
      <c r="E34" s="19" t="s">
        <v>88</v>
      </c>
      <c r="F34" s="19" t="s">
        <v>89</v>
      </c>
      <c r="G34" s="20" t="n">
        <v>10</v>
      </c>
      <c r="H34" s="20" t="n">
        <v>8</v>
      </c>
      <c r="I34" s="20" t="n">
        <v>22</v>
      </c>
      <c r="J34" s="20" t="n">
        <v>69</v>
      </c>
      <c r="K34" s="21" t="n">
        <f aca="false">G34/H34</f>
        <v>1.25</v>
      </c>
      <c r="L34" s="21" t="n">
        <f aca="false">I34/J34</f>
        <v>0.318840579710145</v>
      </c>
      <c r="M34" s="20" t="n">
        <v>0.5</v>
      </c>
      <c r="N34" s="22" t="s">
        <v>90</v>
      </c>
    </row>
    <row r="35" customFormat="false" ht="52.2" hidden="false" customHeight="false" outlineLevel="0" collapsed="false">
      <c r="A35" s="19" t="s">
        <v>18</v>
      </c>
      <c r="B35" s="19" t="s">
        <v>40</v>
      </c>
      <c r="C35" s="19" t="s">
        <v>41</v>
      </c>
      <c r="D35" s="19" t="s">
        <v>91</v>
      </c>
      <c r="E35" s="19" t="s">
        <v>92</v>
      </c>
      <c r="F35" s="19" t="s">
        <v>93</v>
      </c>
      <c r="G35" s="20" t="n">
        <v>4</v>
      </c>
      <c r="H35" s="20" t="n">
        <v>10</v>
      </c>
      <c r="I35" s="20" t="n">
        <v>5</v>
      </c>
      <c r="J35" s="20" t="n">
        <v>55</v>
      </c>
      <c r="K35" s="21" t="n">
        <f aca="false">G35/H35</f>
        <v>0.4</v>
      </c>
      <c r="L35" s="21" t="n">
        <f aca="false">I35/J35</f>
        <v>0.0909090909090909</v>
      </c>
      <c r="M35" s="20" t="n">
        <v>0.4</v>
      </c>
      <c r="N35" s="22" t="s">
        <v>94</v>
      </c>
    </row>
    <row r="36" customFormat="false" ht="52.2" hidden="false" customHeight="false" outlineLevel="0" collapsed="false">
      <c r="A36" s="19" t="s">
        <v>18</v>
      </c>
      <c r="B36" s="19" t="s">
        <v>40</v>
      </c>
      <c r="C36" s="19" t="s">
        <v>41</v>
      </c>
      <c r="D36" s="19" t="s">
        <v>95</v>
      </c>
      <c r="E36" s="19" t="s">
        <v>96</v>
      </c>
      <c r="F36" s="19" t="s">
        <v>160</v>
      </c>
      <c r="G36" s="20" t="n">
        <v>8</v>
      </c>
      <c r="H36" s="20" t="n">
        <v>9</v>
      </c>
      <c r="I36" s="20" t="n">
        <v>11</v>
      </c>
      <c r="J36" s="20" t="n">
        <v>44</v>
      </c>
      <c r="K36" s="21" t="n">
        <f aca="false">G36/H36</f>
        <v>0.888888888888889</v>
      </c>
      <c r="L36" s="21" t="n">
        <f aca="false">I36/J36</f>
        <v>0.25</v>
      </c>
      <c r="M36" s="20" t="n">
        <v>0.4</v>
      </c>
      <c r="N36" s="22" t="s">
        <v>98</v>
      </c>
    </row>
    <row r="37" customFormat="false" ht="52.2" hidden="false" customHeight="false" outlineLevel="0" collapsed="false">
      <c r="A37" s="19" t="s">
        <v>18</v>
      </c>
      <c r="B37" s="19" t="s">
        <v>40</v>
      </c>
      <c r="C37" s="19" t="s">
        <v>41</v>
      </c>
      <c r="D37" s="19" t="s">
        <v>99</v>
      </c>
      <c r="E37" s="19" t="s">
        <v>100</v>
      </c>
      <c r="F37" s="19" t="s">
        <v>161</v>
      </c>
      <c r="G37" s="20" t="n">
        <v>2</v>
      </c>
      <c r="H37" s="20" t="n">
        <v>6</v>
      </c>
      <c r="I37" s="20" t="n">
        <v>2</v>
      </c>
      <c r="J37" s="20" t="n">
        <v>35</v>
      </c>
      <c r="K37" s="21" t="n">
        <f aca="false">G37/H37</f>
        <v>0.333333333333333</v>
      </c>
      <c r="L37" s="21" t="n">
        <f aca="false">I37/J37</f>
        <v>0.0571428571428571</v>
      </c>
      <c r="M37" s="20" t="n">
        <v>0.4</v>
      </c>
      <c r="N37" s="22" t="s">
        <v>102</v>
      </c>
    </row>
    <row r="38" customFormat="false" ht="52.2" hidden="false" customHeight="false" outlineLevel="0" collapsed="false">
      <c r="A38" s="19" t="s">
        <v>18</v>
      </c>
      <c r="B38" s="19" t="s">
        <v>40</v>
      </c>
      <c r="C38" s="19" t="s">
        <v>41</v>
      </c>
      <c r="D38" s="19" t="s">
        <v>103</v>
      </c>
      <c r="E38" s="19" t="s">
        <v>104</v>
      </c>
      <c r="F38" s="19" t="s">
        <v>162</v>
      </c>
      <c r="G38" s="20" t="n">
        <v>10</v>
      </c>
      <c r="H38" s="20" t="n">
        <v>13</v>
      </c>
      <c r="I38" s="20" t="n">
        <v>11</v>
      </c>
      <c r="J38" s="20" t="n">
        <v>67</v>
      </c>
      <c r="K38" s="21" t="n">
        <f aca="false">G38/H38</f>
        <v>0.769230769230769</v>
      </c>
      <c r="L38" s="21" t="n">
        <f aca="false">I38/J38</f>
        <v>0.164179104477612</v>
      </c>
      <c r="M38" s="20" t="n">
        <v>0.5</v>
      </c>
      <c r="N38" s="22" t="s">
        <v>106</v>
      </c>
    </row>
    <row r="39" customFormat="false" ht="52.2" hidden="false" customHeight="false" outlineLevel="0" collapsed="false">
      <c r="A39" s="19" t="s">
        <v>18</v>
      </c>
      <c r="B39" s="19" t="s">
        <v>40</v>
      </c>
      <c r="C39" s="19" t="s">
        <v>41</v>
      </c>
      <c r="D39" s="19" t="s">
        <v>107</v>
      </c>
      <c r="E39" s="19" t="s">
        <v>108</v>
      </c>
      <c r="F39" s="19" t="s">
        <v>163</v>
      </c>
      <c r="G39" s="20" t="n">
        <v>9</v>
      </c>
      <c r="H39" s="20" t="n">
        <v>11</v>
      </c>
      <c r="I39" s="20" t="n">
        <v>13</v>
      </c>
      <c r="J39" s="20" t="n">
        <v>60</v>
      </c>
      <c r="K39" s="21" t="n">
        <f aca="false">G39/H39</f>
        <v>0.818181818181818</v>
      </c>
      <c r="L39" s="21" t="n">
        <f aca="false">I39/J39</f>
        <v>0.216666666666667</v>
      </c>
      <c r="M39" s="20" t="n">
        <v>0.8</v>
      </c>
      <c r="N39" s="22" t="s">
        <v>110</v>
      </c>
    </row>
    <row r="40" customFormat="false" ht="52.2" hidden="false" customHeight="false" outlineLevel="0" collapsed="false">
      <c r="A40" s="19" t="s">
        <v>18</v>
      </c>
      <c r="B40" s="19" t="s">
        <v>40</v>
      </c>
      <c r="C40" s="19" t="s">
        <v>41</v>
      </c>
      <c r="D40" s="19" t="s">
        <v>111</v>
      </c>
      <c r="E40" s="19" t="s">
        <v>112</v>
      </c>
      <c r="F40" s="19" t="s">
        <v>164</v>
      </c>
      <c r="G40" s="20" t="n">
        <v>5</v>
      </c>
      <c r="H40" s="20" t="n">
        <v>8</v>
      </c>
      <c r="I40" s="20" t="n">
        <v>4</v>
      </c>
      <c r="J40" s="20" t="n">
        <v>53</v>
      </c>
      <c r="K40" s="21" t="n">
        <f aca="false">G40/H40</f>
        <v>0.625</v>
      </c>
      <c r="L40" s="21" t="n">
        <f aca="false">I40/J40</f>
        <v>0.0754716981132075</v>
      </c>
      <c r="M40" s="20" t="n">
        <v>0.5</v>
      </c>
      <c r="N40" s="22" t="s">
        <v>114</v>
      </c>
    </row>
    <row r="41" customFormat="false" ht="52.2" hidden="false" customHeight="false" outlineLevel="0" collapsed="false">
      <c r="A41" s="19" t="s">
        <v>18</v>
      </c>
      <c r="B41" s="19" t="s">
        <v>40</v>
      </c>
      <c r="C41" s="19" t="s">
        <v>41</v>
      </c>
      <c r="D41" s="19" t="s">
        <v>115</v>
      </c>
      <c r="E41" s="19" t="s">
        <v>116</v>
      </c>
      <c r="F41" s="19" t="s">
        <v>165</v>
      </c>
      <c r="G41" s="20" t="n">
        <v>9</v>
      </c>
      <c r="H41" s="20" t="n">
        <v>12</v>
      </c>
      <c r="I41" s="20" t="n">
        <v>14</v>
      </c>
      <c r="J41" s="20" t="n">
        <v>73</v>
      </c>
      <c r="K41" s="21" t="n">
        <f aca="false">G41/H41</f>
        <v>0.75</v>
      </c>
      <c r="L41" s="21" t="n">
        <f aca="false">I41/J41</f>
        <v>0.191780821917808</v>
      </c>
      <c r="M41" s="20" t="n">
        <v>0.5</v>
      </c>
      <c r="N41" s="22" t="s">
        <v>118</v>
      </c>
    </row>
    <row r="42" customFormat="false" ht="64.9" hidden="false" customHeight="false" outlineLevel="0" collapsed="false">
      <c r="A42" s="19" t="s">
        <v>18</v>
      </c>
      <c r="B42" s="19" t="s">
        <v>42</v>
      </c>
      <c r="C42" s="19" t="s">
        <v>43</v>
      </c>
      <c r="D42" s="19" t="s">
        <v>79</v>
      </c>
      <c r="E42" s="19" t="s">
        <v>80</v>
      </c>
      <c r="F42" s="19" t="s">
        <v>166</v>
      </c>
      <c r="G42" s="20" t="n">
        <v>1</v>
      </c>
      <c r="H42" s="20" t="n">
        <v>6</v>
      </c>
      <c r="I42" s="20" t="n">
        <v>1</v>
      </c>
      <c r="J42" s="20" t="n">
        <v>42</v>
      </c>
      <c r="K42" s="21" t="n">
        <f aca="false">G42/H42</f>
        <v>0.166666666666667</v>
      </c>
      <c r="L42" s="21" t="n">
        <f aca="false">I42/J42</f>
        <v>0.0238095238095238</v>
      </c>
      <c r="M42" s="20" t="n">
        <v>0.5</v>
      </c>
      <c r="N42" s="22" t="s">
        <v>120</v>
      </c>
    </row>
    <row r="43" customFormat="false" ht="64.9" hidden="false" customHeight="false" outlineLevel="0" collapsed="false">
      <c r="A43" s="19" t="s">
        <v>18</v>
      </c>
      <c r="B43" s="19" t="s">
        <v>42</v>
      </c>
      <c r="C43" s="19" t="s">
        <v>43</v>
      </c>
      <c r="D43" s="19" t="s">
        <v>83</v>
      </c>
      <c r="E43" s="19" t="s">
        <v>84</v>
      </c>
      <c r="F43" s="19" t="s">
        <v>121</v>
      </c>
      <c r="G43" s="20" t="n">
        <v>4</v>
      </c>
      <c r="H43" s="20" t="n">
        <v>8</v>
      </c>
      <c r="I43" s="20" t="n">
        <v>6</v>
      </c>
      <c r="J43" s="20" t="n">
        <v>53</v>
      </c>
      <c r="K43" s="21" t="n">
        <f aca="false">G43/H43</f>
        <v>0.5</v>
      </c>
      <c r="L43" s="21" t="n">
        <f aca="false">I43/J43</f>
        <v>0.113207547169811</v>
      </c>
      <c r="M43" s="20" t="n">
        <v>0.4</v>
      </c>
      <c r="N43" s="22" t="s">
        <v>122</v>
      </c>
    </row>
    <row r="44" customFormat="false" ht="64.9" hidden="false" customHeight="false" outlineLevel="0" collapsed="false">
      <c r="A44" s="19" t="s">
        <v>18</v>
      </c>
      <c r="B44" s="19" t="s">
        <v>42</v>
      </c>
      <c r="C44" s="19" t="s">
        <v>43</v>
      </c>
      <c r="D44" s="19" t="s">
        <v>87</v>
      </c>
      <c r="E44" s="19" t="s">
        <v>88</v>
      </c>
      <c r="F44" s="19" t="s">
        <v>123</v>
      </c>
      <c r="G44" s="20" t="n">
        <v>5</v>
      </c>
      <c r="H44" s="20" t="n">
        <v>8</v>
      </c>
      <c r="I44" s="20" t="n">
        <v>6</v>
      </c>
      <c r="J44" s="20" t="n">
        <v>69</v>
      </c>
      <c r="K44" s="21" t="n">
        <f aca="false">G44/H44</f>
        <v>0.625</v>
      </c>
      <c r="L44" s="21" t="n">
        <f aca="false">I44/J44</f>
        <v>0.0869565217391304</v>
      </c>
      <c r="M44" s="20" t="n">
        <v>0.5</v>
      </c>
      <c r="N44" s="22" t="s">
        <v>124</v>
      </c>
    </row>
    <row r="45" customFormat="false" ht="64.9" hidden="false" customHeight="false" outlineLevel="0" collapsed="false">
      <c r="A45" s="19" t="s">
        <v>18</v>
      </c>
      <c r="B45" s="19" t="s">
        <v>42</v>
      </c>
      <c r="C45" s="19" t="s">
        <v>43</v>
      </c>
      <c r="D45" s="19" t="s">
        <v>91</v>
      </c>
      <c r="E45" s="19" t="s">
        <v>92</v>
      </c>
      <c r="F45" s="19" t="s">
        <v>125</v>
      </c>
      <c r="G45" s="20" t="n">
        <v>7</v>
      </c>
      <c r="H45" s="20" t="n">
        <v>10</v>
      </c>
      <c r="I45" s="20" t="n">
        <v>7</v>
      </c>
      <c r="J45" s="20" t="n">
        <v>55</v>
      </c>
      <c r="K45" s="21" t="n">
        <f aca="false">G45/H45</f>
        <v>0.7</v>
      </c>
      <c r="L45" s="21" t="n">
        <f aca="false">I45/J45</f>
        <v>0.127272727272727</v>
      </c>
      <c r="M45" s="20" t="n">
        <v>0.4</v>
      </c>
      <c r="N45" s="22" t="s">
        <v>126</v>
      </c>
    </row>
    <row r="46" customFormat="false" ht="64.9" hidden="false" customHeight="false" outlineLevel="0" collapsed="false">
      <c r="A46" s="19" t="s">
        <v>18</v>
      </c>
      <c r="B46" s="19" t="s">
        <v>42</v>
      </c>
      <c r="C46" s="19" t="s">
        <v>43</v>
      </c>
      <c r="D46" s="19" t="s">
        <v>95</v>
      </c>
      <c r="E46" s="19" t="s">
        <v>96</v>
      </c>
      <c r="F46" s="19" t="s">
        <v>127</v>
      </c>
      <c r="G46" s="20" t="n">
        <v>7</v>
      </c>
      <c r="H46" s="20" t="n">
        <v>9</v>
      </c>
      <c r="I46" s="20" t="n">
        <v>6</v>
      </c>
      <c r="J46" s="20" t="n">
        <v>44</v>
      </c>
      <c r="K46" s="21" t="n">
        <f aca="false">G46/H46</f>
        <v>0.777777777777778</v>
      </c>
      <c r="L46" s="21" t="n">
        <f aca="false">I46/J46</f>
        <v>0.136363636363636</v>
      </c>
      <c r="M46" s="20" t="n">
        <v>0.5</v>
      </c>
      <c r="N46" s="22" t="s">
        <v>128</v>
      </c>
    </row>
    <row r="47" customFormat="false" ht="64.9" hidden="false" customHeight="false" outlineLevel="0" collapsed="false">
      <c r="A47" s="19" t="s">
        <v>18</v>
      </c>
      <c r="B47" s="19" t="s">
        <v>42</v>
      </c>
      <c r="C47" s="19" t="s">
        <v>43</v>
      </c>
      <c r="D47" s="19" t="s">
        <v>99</v>
      </c>
      <c r="E47" s="19" t="s">
        <v>100</v>
      </c>
      <c r="F47" s="19" t="s">
        <v>129</v>
      </c>
      <c r="G47" s="20" t="n">
        <v>2</v>
      </c>
      <c r="H47" s="20" t="n">
        <v>6</v>
      </c>
      <c r="I47" s="20" t="n">
        <v>2</v>
      </c>
      <c r="J47" s="20" t="n">
        <v>35</v>
      </c>
      <c r="K47" s="21" t="n">
        <f aca="false">G47/H47</f>
        <v>0.333333333333333</v>
      </c>
      <c r="L47" s="21" t="n">
        <f aca="false">I47/J47</f>
        <v>0.0571428571428571</v>
      </c>
      <c r="M47" s="20" t="n">
        <v>0.5</v>
      </c>
      <c r="N47" s="22" t="s">
        <v>130</v>
      </c>
    </row>
    <row r="48" customFormat="false" ht="64.9" hidden="false" customHeight="false" outlineLevel="0" collapsed="false">
      <c r="A48" s="19" t="s">
        <v>18</v>
      </c>
      <c r="B48" s="19" t="s">
        <v>42</v>
      </c>
      <c r="C48" s="19" t="s">
        <v>43</v>
      </c>
      <c r="D48" s="19" t="s">
        <v>103</v>
      </c>
      <c r="E48" s="19" t="s">
        <v>131</v>
      </c>
      <c r="F48" s="19" t="s">
        <v>132</v>
      </c>
      <c r="G48" s="20" t="n">
        <v>10</v>
      </c>
      <c r="H48" s="20" t="n">
        <v>10</v>
      </c>
      <c r="I48" s="20" t="n">
        <v>10</v>
      </c>
      <c r="J48" s="20" t="n">
        <v>58</v>
      </c>
      <c r="K48" s="21" t="n">
        <f aca="false">G48/H48</f>
        <v>1</v>
      </c>
      <c r="L48" s="21" t="n">
        <f aca="false">I48/J48</f>
        <v>0.172413793103448</v>
      </c>
      <c r="M48" s="20" t="n">
        <v>0.5</v>
      </c>
      <c r="N48" s="22" t="s">
        <v>133</v>
      </c>
    </row>
    <row r="49" customFormat="false" ht="64.9" hidden="false" customHeight="false" outlineLevel="0" collapsed="false">
      <c r="A49" s="19" t="s">
        <v>18</v>
      </c>
      <c r="B49" s="19" t="s">
        <v>42</v>
      </c>
      <c r="C49" s="19" t="s">
        <v>43</v>
      </c>
      <c r="D49" s="19" t="s">
        <v>107</v>
      </c>
      <c r="E49" s="19" t="s">
        <v>108</v>
      </c>
      <c r="F49" s="19" t="s">
        <v>167</v>
      </c>
      <c r="G49" s="20" t="n">
        <v>8</v>
      </c>
      <c r="H49" s="20" t="n">
        <v>11</v>
      </c>
      <c r="I49" s="20" t="n">
        <v>10</v>
      </c>
      <c r="J49" s="20" t="n">
        <v>60</v>
      </c>
      <c r="K49" s="21" t="n">
        <f aca="false">G49/H49</f>
        <v>0.727272727272727</v>
      </c>
      <c r="L49" s="21" t="n">
        <f aca="false">I49/J49</f>
        <v>0.166666666666667</v>
      </c>
      <c r="M49" s="20" t="n">
        <v>0.5</v>
      </c>
      <c r="N49" s="22" t="s">
        <v>135</v>
      </c>
    </row>
    <row r="50" customFormat="false" ht="64.9" hidden="false" customHeight="false" outlineLevel="0" collapsed="false">
      <c r="A50" s="19" t="s">
        <v>18</v>
      </c>
      <c r="B50" s="19" t="s">
        <v>42</v>
      </c>
      <c r="C50" s="19" t="s">
        <v>43</v>
      </c>
      <c r="D50" s="19" t="s">
        <v>111</v>
      </c>
      <c r="E50" s="19" t="s">
        <v>112</v>
      </c>
      <c r="F50" s="19" t="s">
        <v>168</v>
      </c>
      <c r="G50" s="20" t="n">
        <v>6</v>
      </c>
      <c r="H50" s="20" t="n">
        <v>8</v>
      </c>
      <c r="I50" s="20" t="n">
        <v>7</v>
      </c>
      <c r="J50" s="20" t="n">
        <v>53</v>
      </c>
      <c r="K50" s="21" t="n">
        <f aca="false">G50/H50</f>
        <v>0.75</v>
      </c>
      <c r="L50" s="21" t="n">
        <f aca="false">I50/J50</f>
        <v>0.132075471698113</v>
      </c>
      <c r="M50" s="20" t="n">
        <v>0.5</v>
      </c>
      <c r="N50" s="22" t="s">
        <v>137</v>
      </c>
    </row>
    <row r="51" customFormat="false" ht="64.9" hidden="false" customHeight="false" outlineLevel="0" collapsed="false">
      <c r="A51" s="19" t="s">
        <v>18</v>
      </c>
      <c r="B51" s="19" t="s">
        <v>42</v>
      </c>
      <c r="C51" s="19" t="s">
        <v>43</v>
      </c>
      <c r="D51" s="19" t="s">
        <v>115</v>
      </c>
      <c r="E51" s="19" t="s">
        <v>116</v>
      </c>
      <c r="F51" s="19" t="s">
        <v>169</v>
      </c>
      <c r="G51" s="20" t="n">
        <v>10</v>
      </c>
      <c r="H51" s="20" t="n">
        <v>12</v>
      </c>
      <c r="I51" s="20" t="n">
        <v>15</v>
      </c>
      <c r="J51" s="20" t="n">
        <v>73</v>
      </c>
      <c r="K51" s="21" t="n">
        <f aca="false">G51/H51</f>
        <v>0.833333333333333</v>
      </c>
      <c r="L51" s="21" t="n">
        <f aca="false">I51/J51</f>
        <v>0.205479452054795</v>
      </c>
      <c r="M51" s="20" t="n">
        <v>0.5</v>
      </c>
      <c r="N51" s="22" t="s">
        <v>139</v>
      </c>
    </row>
    <row r="52" customFormat="false" ht="52.2" hidden="false" customHeight="false" outlineLevel="0" collapsed="false">
      <c r="A52" s="19" t="s">
        <v>18</v>
      </c>
      <c r="B52" s="19" t="s">
        <v>44</v>
      </c>
      <c r="C52" s="19" t="s">
        <v>45</v>
      </c>
      <c r="D52" s="19" t="s">
        <v>79</v>
      </c>
      <c r="E52" s="19" t="s">
        <v>80</v>
      </c>
      <c r="F52" s="19" t="s">
        <v>170</v>
      </c>
      <c r="G52" s="20" t="n">
        <v>3</v>
      </c>
      <c r="H52" s="20" t="n">
        <v>6</v>
      </c>
      <c r="I52" s="20" t="n">
        <v>4</v>
      </c>
      <c r="J52" s="20" t="n">
        <v>42</v>
      </c>
      <c r="K52" s="21" t="n">
        <f aca="false">G52/H52</f>
        <v>0.5</v>
      </c>
      <c r="L52" s="21" t="n">
        <f aca="false">I52/J52</f>
        <v>0.0952380952380952</v>
      </c>
      <c r="M52" s="20" t="n">
        <v>0.4</v>
      </c>
      <c r="N52" s="22" t="s">
        <v>141</v>
      </c>
    </row>
    <row r="53" customFormat="false" ht="52.2" hidden="false" customHeight="false" outlineLevel="0" collapsed="false">
      <c r="A53" s="19" t="s">
        <v>18</v>
      </c>
      <c r="B53" s="19" t="s">
        <v>44</v>
      </c>
      <c r="C53" s="19" t="s">
        <v>45</v>
      </c>
      <c r="D53" s="19" t="s">
        <v>83</v>
      </c>
      <c r="E53" s="19" t="s">
        <v>84</v>
      </c>
      <c r="F53" s="19" t="s">
        <v>171</v>
      </c>
      <c r="G53" s="20" t="n">
        <v>3</v>
      </c>
      <c r="H53" s="20" t="n">
        <v>8</v>
      </c>
      <c r="I53" s="20" t="n">
        <v>4</v>
      </c>
      <c r="J53" s="20" t="n">
        <v>53</v>
      </c>
      <c r="K53" s="21" t="n">
        <f aca="false">G53/H53</f>
        <v>0.375</v>
      </c>
      <c r="L53" s="21" t="n">
        <f aca="false">I53/J53</f>
        <v>0.0754716981132075</v>
      </c>
      <c r="M53" s="20" t="n">
        <v>0.5</v>
      </c>
      <c r="N53" s="22" t="s">
        <v>143</v>
      </c>
    </row>
    <row r="54" customFormat="false" ht="52.2" hidden="false" customHeight="false" outlineLevel="0" collapsed="false">
      <c r="A54" s="19" t="s">
        <v>18</v>
      </c>
      <c r="B54" s="19" t="s">
        <v>44</v>
      </c>
      <c r="C54" s="19" t="s">
        <v>45</v>
      </c>
      <c r="D54" s="19" t="s">
        <v>87</v>
      </c>
      <c r="E54" s="19" t="s">
        <v>88</v>
      </c>
      <c r="F54" s="19" t="s">
        <v>172</v>
      </c>
      <c r="G54" s="20" t="n">
        <v>7</v>
      </c>
      <c r="H54" s="20" t="n">
        <v>8</v>
      </c>
      <c r="I54" s="20" t="n">
        <v>9</v>
      </c>
      <c r="J54" s="20" t="n">
        <v>69</v>
      </c>
      <c r="K54" s="21" t="n">
        <f aca="false">G54/H54</f>
        <v>0.875</v>
      </c>
      <c r="L54" s="21" t="n">
        <f aca="false">I54/J54</f>
        <v>0.130434782608696</v>
      </c>
      <c r="M54" s="20" t="n">
        <v>0.5</v>
      </c>
      <c r="N54" s="22" t="s">
        <v>145</v>
      </c>
    </row>
    <row r="55" customFormat="false" ht="52.2" hidden="false" customHeight="false" outlineLevel="0" collapsed="false">
      <c r="A55" s="19" t="s">
        <v>18</v>
      </c>
      <c r="B55" s="19" t="s">
        <v>44</v>
      </c>
      <c r="C55" s="19" t="s">
        <v>45</v>
      </c>
      <c r="D55" s="19" t="s">
        <v>91</v>
      </c>
      <c r="E55" s="19" t="s">
        <v>92</v>
      </c>
      <c r="F55" s="19" t="s">
        <v>173</v>
      </c>
      <c r="G55" s="20" t="n">
        <v>3</v>
      </c>
      <c r="H55" s="20" t="n">
        <v>10</v>
      </c>
      <c r="I55" s="20" t="n">
        <v>2</v>
      </c>
      <c r="J55" s="20" t="n">
        <v>55</v>
      </c>
      <c r="K55" s="21" t="n">
        <f aca="false">G55/H55</f>
        <v>0.3</v>
      </c>
      <c r="L55" s="21" t="n">
        <f aca="false">I55/J55</f>
        <v>0.0363636363636364</v>
      </c>
      <c r="M55" s="20" t="n">
        <v>0.5</v>
      </c>
      <c r="N55" s="22" t="s">
        <v>147</v>
      </c>
    </row>
    <row r="56" customFormat="false" ht="52.2" hidden="false" customHeight="false" outlineLevel="0" collapsed="false">
      <c r="A56" s="19" t="s">
        <v>18</v>
      </c>
      <c r="B56" s="19" t="s">
        <v>44</v>
      </c>
      <c r="C56" s="19" t="s">
        <v>45</v>
      </c>
      <c r="D56" s="19" t="s">
        <v>95</v>
      </c>
      <c r="E56" s="19" t="s">
        <v>96</v>
      </c>
      <c r="F56" s="19" t="s">
        <v>148</v>
      </c>
      <c r="G56" s="20" t="n">
        <v>6</v>
      </c>
      <c r="H56" s="20" t="n">
        <v>9</v>
      </c>
      <c r="I56" s="20" t="n">
        <v>5</v>
      </c>
      <c r="J56" s="20" t="n">
        <v>44</v>
      </c>
      <c r="K56" s="21" t="n">
        <f aca="false">G56/H56</f>
        <v>0.666666666666667</v>
      </c>
      <c r="L56" s="21" t="n">
        <f aca="false">I56/J56</f>
        <v>0.113636363636364</v>
      </c>
      <c r="M56" s="20" t="n">
        <v>0.5</v>
      </c>
      <c r="N56" s="22" t="s">
        <v>149</v>
      </c>
    </row>
    <row r="57" customFormat="false" ht="52.2" hidden="false" customHeight="false" outlineLevel="0" collapsed="false">
      <c r="A57" s="19" t="s">
        <v>18</v>
      </c>
      <c r="B57" s="19" t="s">
        <v>44</v>
      </c>
      <c r="C57" s="19" t="s">
        <v>45</v>
      </c>
      <c r="D57" s="19" t="s">
        <v>99</v>
      </c>
      <c r="E57" s="19" t="s">
        <v>100</v>
      </c>
      <c r="F57" s="19" t="s">
        <v>174</v>
      </c>
      <c r="G57" s="20" t="n">
        <v>5</v>
      </c>
      <c r="H57" s="20" t="n">
        <v>6</v>
      </c>
      <c r="I57" s="20" t="n">
        <v>3</v>
      </c>
      <c r="J57" s="20" t="n">
        <v>35</v>
      </c>
      <c r="K57" s="21" t="n">
        <f aca="false">G57/H57</f>
        <v>0.833333333333333</v>
      </c>
      <c r="L57" s="21" t="n">
        <f aca="false">I57/J57</f>
        <v>0.0857142857142857</v>
      </c>
      <c r="M57" s="20" t="n">
        <v>0.4</v>
      </c>
      <c r="N57" s="22" t="s">
        <v>151</v>
      </c>
    </row>
    <row r="58" customFormat="false" ht="52.2" hidden="false" customHeight="false" outlineLevel="0" collapsed="false">
      <c r="A58" s="19" t="s">
        <v>18</v>
      </c>
      <c r="B58" s="19" t="s">
        <v>44</v>
      </c>
      <c r="C58" s="19" t="s">
        <v>45</v>
      </c>
      <c r="D58" s="19" t="s">
        <v>103</v>
      </c>
      <c r="E58" s="19" t="s">
        <v>131</v>
      </c>
      <c r="F58" s="19" t="s">
        <v>152</v>
      </c>
      <c r="G58" s="20" t="n">
        <v>6</v>
      </c>
      <c r="H58" s="20" t="n">
        <v>10</v>
      </c>
      <c r="I58" s="20" t="n">
        <v>4</v>
      </c>
      <c r="J58" s="20" t="n">
        <v>58</v>
      </c>
      <c r="K58" s="21" t="n">
        <f aca="false">G58/H58</f>
        <v>0.6</v>
      </c>
      <c r="L58" s="21" t="n">
        <f aca="false">I58/J58</f>
        <v>0.0689655172413793</v>
      </c>
      <c r="M58" s="20" t="n">
        <v>0.4</v>
      </c>
      <c r="N58" s="22" t="s">
        <v>153</v>
      </c>
    </row>
    <row r="59" customFormat="false" ht="52.2" hidden="false" customHeight="false" outlineLevel="0" collapsed="false">
      <c r="A59" s="19" t="s">
        <v>18</v>
      </c>
      <c r="B59" s="19" t="s">
        <v>44</v>
      </c>
      <c r="C59" s="19" t="s">
        <v>45</v>
      </c>
      <c r="D59" s="19" t="s">
        <v>107</v>
      </c>
      <c r="E59" s="19" t="s">
        <v>108</v>
      </c>
      <c r="F59" s="19" t="s">
        <v>175</v>
      </c>
      <c r="G59" s="20" t="n">
        <v>6</v>
      </c>
      <c r="H59" s="20" t="n">
        <v>11</v>
      </c>
      <c r="I59" s="20" t="n">
        <v>4</v>
      </c>
      <c r="J59" s="20" t="n">
        <v>60</v>
      </c>
      <c r="K59" s="21" t="n">
        <f aca="false">G59/H59</f>
        <v>0.545454545454545</v>
      </c>
      <c r="L59" s="21" t="n">
        <f aca="false">I59/J59</f>
        <v>0.0666666666666667</v>
      </c>
      <c r="M59" s="20" t="n">
        <v>0.4</v>
      </c>
      <c r="N59" s="22" t="s">
        <v>155</v>
      </c>
    </row>
    <row r="60" customFormat="false" ht="52.2" hidden="false" customHeight="false" outlineLevel="0" collapsed="false">
      <c r="A60" s="19" t="s">
        <v>18</v>
      </c>
      <c r="B60" s="19" t="s">
        <v>44</v>
      </c>
      <c r="C60" s="19" t="s">
        <v>45</v>
      </c>
      <c r="D60" s="19" t="s">
        <v>111</v>
      </c>
      <c r="E60" s="19" t="s">
        <v>112</v>
      </c>
      <c r="F60" s="19" t="s">
        <v>156</v>
      </c>
      <c r="G60" s="20" t="n">
        <v>5</v>
      </c>
      <c r="H60" s="20" t="n">
        <v>8</v>
      </c>
      <c r="I60" s="20" t="n">
        <v>5</v>
      </c>
      <c r="J60" s="20" t="n">
        <v>53</v>
      </c>
      <c r="K60" s="21" t="n">
        <f aca="false">G60/H60</f>
        <v>0.625</v>
      </c>
      <c r="L60" s="21" t="n">
        <f aca="false">I60/J60</f>
        <v>0.0943396226415094</v>
      </c>
      <c r="M60" s="20" t="n">
        <v>0.4</v>
      </c>
      <c r="N60" s="22" t="s">
        <v>157</v>
      </c>
    </row>
    <row r="61" customFormat="false" ht="52.2" hidden="false" customHeight="false" outlineLevel="0" collapsed="false">
      <c r="A61" s="19" t="s">
        <v>18</v>
      </c>
      <c r="B61" s="19" t="s">
        <v>44</v>
      </c>
      <c r="C61" s="19" t="s">
        <v>45</v>
      </c>
      <c r="D61" s="19" t="s">
        <v>115</v>
      </c>
      <c r="E61" s="19" t="s">
        <v>116</v>
      </c>
      <c r="F61" s="19" t="s">
        <v>176</v>
      </c>
      <c r="G61" s="20" t="n">
        <v>9</v>
      </c>
      <c r="H61" s="20" t="n">
        <v>12</v>
      </c>
      <c r="I61" s="20" t="n">
        <v>14</v>
      </c>
      <c r="J61" s="20" t="n">
        <v>73</v>
      </c>
      <c r="K61" s="21" t="n">
        <f aca="false">G61/H61</f>
        <v>0.75</v>
      </c>
      <c r="L61" s="21" t="n">
        <f aca="false">I61/J61</f>
        <v>0.191780821917808</v>
      </c>
      <c r="M61" s="20" t="n">
        <v>0.5</v>
      </c>
      <c r="N61" s="22" t="s">
        <v>159</v>
      </c>
    </row>
    <row r="62" customFormat="false" ht="52.2" hidden="false" customHeight="false" outlineLevel="0" collapsed="false">
      <c r="A62" s="19" t="s">
        <v>20</v>
      </c>
      <c r="B62" s="19" t="s">
        <v>40</v>
      </c>
      <c r="C62" s="19" t="s">
        <v>41</v>
      </c>
      <c r="D62" s="19" t="s">
        <v>79</v>
      </c>
      <c r="E62" s="19" t="s">
        <v>80</v>
      </c>
      <c r="F62" s="19" t="s">
        <v>177</v>
      </c>
      <c r="G62" s="20" t="n">
        <v>3</v>
      </c>
      <c r="H62" s="20" t="n">
        <v>6</v>
      </c>
      <c r="I62" s="20" t="n">
        <v>4</v>
      </c>
      <c r="J62" s="20" t="n">
        <v>42</v>
      </c>
      <c r="K62" s="21" t="n">
        <f aca="false">G62/H62</f>
        <v>0.5</v>
      </c>
      <c r="L62" s="21" t="n">
        <f aca="false">I62/J62</f>
        <v>0.0952380952380952</v>
      </c>
      <c r="M62" s="20" t="n">
        <v>0.4</v>
      </c>
      <c r="N62" s="22" t="s">
        <v>82</v>
      </c>
    </row>
    <row r="63" customFormat="false" ht="52.2" hidden="false" customHeight="false" outlineLevel="0" collapsed="false">
      <c r="A63" s="19" t="s">
        <v>20</v>
      </c>
      <c r="B63" s="19" t="s">
        <v>40</v>
      </c>
      <c r="C63" s="19" t="s">
        <v>41</v>
      </c>
      <c r="D63" s="19" t="s">
        <v>83</v>
      </c>
      <c r="E63" s="19" t="s">
        <v>84</v>
      </c>
      <c r="F63" s="19" t="s">
        <v>178</v>
      </c>
      <c r="G63" s="20" t="n">
        <v>3</v>
      </c>
      <c r="H63" s="20" t="n">
        <v>8</v>
      </c>
      <c r="I63" s="20" t="n">
        <v>4</v>
      </c>
      <c r="J63" s="20" t="n">
        <v>53</v>
      </c>
      <c r="K63" s="21" t="n">
        <f aca="false">G63/H63</f>
        <v>0.375</v>
      </c>
      <c r="L63" s="21" t="n">
        <f aca="false">I63/J63</f>
        <v>0.0754716981132075</v>
      </c>
      <c r="M63" s="20" t="n">
        <v>0.4</v>
      </c>
      <c r="N63" s="22" t="s">
        <v>86</v>
      </c>
    </row>
    <row r="64" customFormat="false" ht="52.2" hidden="false" customHeight="false" outlineLevel="0" collapsed="false">
      <c r="A64" s="19" t="s">
        <v>20</v>
      </c>
      <c r="B64" s="19" t="s">
        <v>40</v>
      </c>
      <c r="C64" s="19" t="s">
        <v>41</v>
      </c>
      <c r="D64" s="19" t="s">
        <v>87</v>
      </c>
      <c r="E64" s="19" t="s">
        <v>88</v>
      </c>
      <c r="F64" s="19" t="s">
        <v>179</v>
      </c>
      <c r="G64" s="20" t="n">
        <v>7</v>
      </c>
      <c r="H64" s="20" t="n">
        <v>8</v>
      </c>
      <c r="I64" s="20" t="n">
        <v>10</v>
      </c>
      <c r="J64" s="20" t="n">
        <v>69</v>
      </c>
      <c r="K64" s="21" t="n">
        <f aca="false">G64/H64</f>
        <v>0.875</v>
      </c>
      <c r="L64" s="21" t="n">
        <f aca="false">I64/J64</f>
        <v>0.144927536231884</v>
      </c>
      <c r="M64" s="20" t="n">
        <v>0.5</v>
      </c>
      <c r="N64" s="22" t="s">
        <v>90</v>
      </c>
    </row>
    <row r="65" customFormat="false" ht="52.2" hidden="false" customHeight="false" outlineLevel="0" collapsed="false">
      <c r="A65" s="19" t="s">
        <v>20</v>
      </c>
      <c r="B65" s="19" t="s">
        <v>40</v>
      </c>
      <c r="C65" s="19" t="s">
        <v>41</v>
      </c>
      <c r="D65" s="19" t="s">
        <v>91</v>
      </c>
      <c r="E65" s="19" t="s">
        <v>92</v>
      </c>
      <c r="F65" s="19" t="s">
        <v>180</v>
      </c>
      <c r="G65" s="20" t="n">
        <v>2</v>
      </c>
      <c r="H65" s="20" t="n">
        <v>10</v>
      </c>
      <c r="I65" s="20" t="n">
        <v>3</v>
      </c>
      <c r="J65" s="20" t="n">
        <v>55</v>
      </c>
      <c r="K65" s="21" t="n">
        <f aca="false">G65/H65</f>
        <v>0.2</v>
      </c>
      <c r="L65" s="21" t="n">
        <f aca="false">I65/J65</f>
        <v>0.0545454545454545</v>
      </c>
      <c r="M65" s="20" t="n">
        <v>0.4</v>
      </c>
      <c r="N65" s="22" t="s">
        <v>94</v>
      </c>
    </row>
    <row r="66" customFormat="false" ht="52.2" hidden="false" customHeight="false" outlineLevel="0" collapsed="false">
      <c r="A66" s="19" t="s">
        <v>20</v>
      </c>
      <c r="B66" s="19" t="s">
        <v>40</v>
      </c>
      <c r="C66" s="19" t="s">
        <v>41</v>
      </c>
      <c r="D66" s="19" t="s">
        <v>95</v>
      </c>
      <c r="E66" s="19" t="s">
        <v>96</v>
      </c>
      <c r="F66" s="19" t="s">
        <v>181</v>
      </c>
      <c r="G66" s="20" t="n">
        <v>5</v>
      </c>
      <c r="H66" s="20" t="n">
        <v>9</v>
      </c>
      <c r="I66" s="20" t="n">
        <v>7</v>
      </c>
      <c r="J66" s="20" t="n">
        <v>44</v>
      </c>
      <c r="K66" s="21" t="n">
        <f aca="false">G66/H66</f>
        <v>0.555555555555556</v>
      </c>
      <c r="L66" s="21" t="n">
        <f aca="false">I66/J66</f>
        <v>0.159090909090909</v>
      </c>
      <c r="M66" s="20" t="n">
        <v>0.4</v>
      </c>
      <c r="N66" s="22" t="s">
        <v>98</v>
      </c>
    </row>
    <row r="67" customFormat="false" ht="52.2" hidden="false" customHeight="false" outlineLevel="0" collapsed="false">
      <c r="A67" s="19" t="s">
        <v>20</v>
      </c>
      <c r="B67" s="19" t="s">
        <v>40</v>
      </c>
      <c r="C67" s="19" t="s">
        <v>41</v>
      </c>
      <c r="D67" s="19" t="s">
        <v>99</v>
      </c>
      <c r="E67" s="19" t="s">
        <v>100</v>
      </c>
      <c r="F67" s="19" t="s">
        <v>182</v>
      </c>
      <c r="G67" s="20" t="n">
        <v>1</v>
      </c>
      <c r="H67" s="20" t="n">
        <v>6</v>
      </c>
      <c r="I67" s="20" t="n">
        <v>1</v>
      </c>
      <c r="J67" s="20" t="n">
        <v>35</v>
      </c>
      <c r="K67" s="21" t="n">
        <f aca="false">G67/H67</f>
        <v>0.166666666666667</v>
      </c>
      <c r="L67" s="21" t="n">
        <f aca="false">I67/J67</f>
        <v>0.0285714285714286</v>
      </c>
      <c r="M67" s="20" t="n">
        <v>0.4</v>
      </c>
      <c r="N67" s="22" t="s">
        <v>102</v>
      </c>
    </row>
    <row r="68" customFormat="false" ht="52.2" hidden="false" customHeight="false" outlineLevel="0" collapsed="false">
      <c r="A68" s="19" t="s">
        <v>20</v>
      </c>
      <c r="B68" s="19" t="s">
        <v>40</v>
      </c>
      <c r="C68" s="19" t="s">
        <v>41</v>
      </c>
      <c r="D68" s="19" t="s">
        <v>103</v>
      </c>
      <c r="E68" s="19" t="s">
        <v>104</v>
      </c>
      <c r="F68" s="19" t="s">
        <v>183</v>
      </c>
      <c r="G68" s="20" t="n">
        <v>6</v>
      </c>
      <c r="H68" s="20" t="n">
        <v>13</v>
      </c>
      <c r="I68" s="20" t="n">
        <v>5</v>
      </c>
      <c r="J68" s="20" t="n">
        <v>67</v>
      </c>
      <c r="K68" s="21" t="n">
        <f aca="false">G68/H68</f>
        <v>0.461538461538462</v>
      </c>
      <c r="L68" s="21" t="n">
        <f aca="false">I68/J68</f>
        <v>0.0746268656716418</v>
      </c>
      <c r="M68" s="20" t="n">
        <v>0.5</v>
      </c>
      <c r="N68" s="22" t="s">
        <v>106</v>
      </c>
    </row>
    <row r="69" customFormat="false" ht="52.2" hidden="false" customHeight="false" outlineLevel="0" collapsed="false">
      <c r="A69" s="19" t="s">
        <v>20</v>
      </c>
      <c r="B69" s="19" t="s">
        <v>40</v>
      </c>
      <c r="C69" s="19" t="s">
        <v>41</v>
      </c>
      <c r="D69" s="19" t="s">
        <v>107</v>
      </c>
      <c r="E69" s="19" t="s">
        <v>108</v>
      </c>
      <c r="F69" s="19" t="s">
        <v>184</v>
      </c>
      <c r="G69" s="20" t="n">
        <v>7</v>
      </c>
      <c r="H69" s="20" t="n">
        <v>11</v>
      </c>
      <c r="I69" s="20" t="n">
        <v>6</v>
      </c>
      <c r="J69" s="20" t="n">
        <v>60</v>
      </c>
      <c r="K69" s="21" t="n">
        <f aca="false">G69/H69</f>
        <v>0.636363636363636</v>
      </c>
      <c r="L69" s="21" t="n">
        <f aca="false">I69/J69</f>
        <v>0.1</v>
      </c>
      <c r="M69" s="20" t="n">
        <v>0.7</v>
      </c>
      <c r="N69" s="22" t="s">
        <v>110</v>
      </c>
    </row>
    <row r="70" customFormat="false" ht="52.2" hidden="false" customHeight="false" outlineLevel="0" collapsed="false">
      <c r="A70" s="19" t="s">
        <v>20</v>
      </c>
      <c r="B70" s="19" t="s">
        <v>40</v>
      </c>
      <c r="C70" s="19" t="s">
        <v>41</v>
      </c>
      <c r="D70" s="19" t="s">
        <v>111</v>
      </c>
      <c r="E70" s="19" t="s">
        <v>112</v>
      </c>
      <c r="F70" s="19" t="s">
        <v>185</v>
      </c>
      <c r="G70" s="20" t="n">
        <v>6</v>
      </c>
      <c r="H70" s="20" t="n">
        <v>8</v>
      </c>
      <c r="I70" s="20" t="n">
        <v>6</v>
      </c>
      <c r="J70" s="20" t="n">
        <v>53</v>
      </c>
      <c r="K70" s="21" t="n">
        <f aca="false">G70/H70</f>
        <v>0.75</v>
      </c>
      <c r="L70" s="21" t="n">
        <f aca="false">I70/J70</f>
        <v>0.113207547169811</v>
      </c>
      <c r="M70" s="20" t="n">
        <v>0.4</v>
      </c>
      <c r="N70" s="22" t="s">
        <v>114</v>
      </c>
    </row>
    <row r="71" customFormat="false" ht="52.2" hidden="false" customHeight="false" outlineLevel="0" collapsed="false">
      <c r="A71" s="19" t="s">
        <v>20</v>
      </c>
      <c r="B71" s="19" t="s">
        <v>40</v>
      </c>
      <c r="C71" s="19" t="s">
        <v>41</v>
      </c>
      <c r="D71" s="19" t="s">
        <v>115</v>
      </c>
      <c r="E71" s="19" t="s">
        <v>116</v>
      </c>
      <c r="F71" s="19" t="s">
        <v>186</v>
      </c>
      <c r="G71" s="20" t="n">
        <v>7</v>
      </c>
      <c r="H71" s="20" t="n">
        <v>12</v>
      </c>
      <c r="I71" s="20" t="n">
        <v>11</v>
      </c>
      <c r="J71" s="20" t="n">
        <v>73</v>
      </c>
      <c r="K71" s="21" t="n">
        <f aca="false">G71/H71</f>
        <v>0.583333333333333</v>
      </c>
      <c r="L71" s="21" t="n">
        <f aca="false">I71/J71</f>
        <v>0.150684931506849</v>
      </c>
      <c r="M71" s="20" t="n">
        <v>0.5</v>
      </c>
      <c r="N71" s="22" t="s">
        <v>118</v>
      </c>
    </row>
    <row r="72" customFormat="false" ht="64.9" hidden="false" customHeight="false" outlineLevel="0" collapsed="false">
      <c r="A72" s="19" t="s">
        <v>20</v>
      </c>
      <c r="B72" s="19" t="s">
        <v>42</v>
      </c>
      <c r="C72" s="19" t="s">
        <v>43</v>
      </c>
      <c r="D72" s="19" t="s">
        <v>79</v>
      </c>
      <c r="E72" s="19" t="s">
        <v>80</v>
      </c>
      <c r="F72" s="19" t="s">
        <v>187</v>
      </c>
      <c r="G72" s="20" t="n">
        <v>5</v>
      </c>
      <c r="H72" s="20" t="n">
        <v>6</v>
      </c>
      <c r="I72" s="20" t="n">
        <v>6</v>
      </c>
      <c r="J72" s="20" t="n">
        <v>42</v>
      </c>
      <c r="K72" s="21" t="n">
        <f aca="false">G72/H72</f>
        <v>0.833333333333333</v>
      </c>
      <c r="L72" s="21" t="n">
        <f aca="false">I72/J72</f>
        <v>0.142857142857143</v>
      </c>
      <c r="M72" s="20" t="n">
        <v>0.4</v>
      </c>
      <c r="N72" s="22" t="s">
        <v>120</v>
      </c>
    </row>
    <row r="73" customFormat="false" ht="64.9" hidden="false" customHeight="false" outlineLevel="0" collapsed="false">
      <c r="A73" s="19" t="s">
        <v>20</v>
      </c>
      <c r="B73" s="19" t="s">
        <v>42</v>
      </c>
      <c r="C73" s="19" t="s">
        <v>43</v>
      </c>
      <c r="D73" s="19" t="s">
        <v>83</v>
      </c>
      <c r="E73" s="19" t="s">
        <v>84</v>
      </c>
      <c r="F73" s="19" t="s">
        <v>188</v>
      </c>
      <c r="G73" s="20" t="n">
        <v>2</v>
      </c>
      <c r="H73" s="20" t="n">
        <v>8</v>
      </c>
      <c r="I73" s="20" t="n">
        <v>4</v>
      </c>
      <c r="J73" s="20" t="n">
        <v>53</v>
      </c>
      <c r="K73" s="21" t="n">
        <f aca="false">G73/H73</f>
        <v>0.25</v>
      </c>
      <c r="L73" s="21" t="n">
        <f aca="false">I73/J73</f>
        <v>0.0754716981132075</v>
      </c>
      <c r="M73" s="20" t="n">
        <v>0.4</v>
      </c>
      <c r="N73" s="22" t="s">
        <v>122</v>
      </c>
    </row>
    <row r="74" customFormat="false" ht="64.9" hidden="false" customHeight="false" outlineLevel="0" collapsed="false">
      <c r="A74" s="19" t="s">
        <v>20</v>
      </c>
      <c r="B74" s="19" t="s">
        <v>42</v>
      </c>
      <c r="C74" s="19" t="s">
        <v>43</v>
      </c>
      <c r="D74" s="19" t="s">
        <v>87</v>
      </c>
      <c r="E74" s="19" t="s">
        <v>88</v>
      </c>
      <c r="F74" s="19" t="s">
        <v>189</v>
      </c>
      <c r="G74" s="20" t="n">
        <v>3</v>
      </c>
      <c r="H74" s="20" t="n">
        <v>8</v>
      </c>
      <c r="I74" s="20" t="n">
        <v>8</v>
      </c>
      <c r="J74" s="20" t="n">
        <v>69</v>
      </c>
      <c r="K74" s="21" t="n">
        <f aca="false">G74/H74</f>
        <v>0.375</v>
      </c>
      <c r="L74" s="21" t="n">
        <f aca="false">I74/J74</f>
        <v>0.115942028985507</v>
      </c>
      <c r="M74" s="20" t="n">
        <v>0.5</v>
      </c>
      <c r="N74" s="22" t="s">
        <v>124</v>
      </c>
    </row>
    <row r="75" customFormat="false" ht="64.9" hidden="false" customHeight="false" outlineLevel="0" collapsed="false">
      <c r="A75" s="19" t="s">
        <v>20</v>
      </c>
      <c r="B75" s="19" t="s">
        <v>42</v>
      </c>
      <c r="C75" s="19" t="s">
        <v>43</v>
      </c>
      <c r="D75" s="19" t="s">
        <v>91</v>
      </c>
      <c r="E75" s="19" t="s">
        <v>92</v>
      </c>
      <c r="F75" s="19" t="s">
        <v>190</v>
      </c>
      <c r="G75" s="20" t="n">
        <v>0</v>
      </c>
      <c r="H75" s="20" t="n">
        <v>10</v>
      </c>
      <c r="I75" s="20" t="n">
        <v>0</v>
      </c>
      <c r="J75" s="20" t="n">
        <v>55</v>
      </c>
      <c r="K75" s="21" t="n">
        <f aca="false">G75/H75</f>
        <v>0</v>
      </c>
      <c r="L75" s="21" t="n">
        <f aca="false">I75/J75</f>
        <v>0</v>
      </c>
      <c r="M75" s="20" t="n">
        <v>0.5</v>
      </c>
      <c r="N75" s="22" t="s">
        <v>126</v>
      </c>
    </row>
    <row r="76" customFormat="false" ht="64.9" hidden="false" customHeight="false" outlineLevel="0" collapsed="false">
      <c r="A76" s="19" t="s">
        <v>20</v>
      </c>
      <c r="B76" s="19" t="s">
        <v>42</v>
      </c>
      <c r="C76" s="19" t="s">
        <v>43</v>
      </c>
      <c r="D76" s="19" t="s">
        <v>95</v>
      </c>
      <c r="E76" s="19" t="s">
        <v>96</v>
      </c>
      <c r="F76" s="19" t="s">
        <v>191</v>
      </c>
      <c r="G76" s="20" t="n">
        <v>6</v>
      </c>
      <c r="H76" s="20" t="n">
        <v>9</v>
      </c>
      <c r="I76" s="20" t="n">
        <v>5</v>
      </c>
      <c r="J76" s="20" t="n">
        <v>44</v>
      </c>
      <c r="K76" s="21" t="n">
        <f aca="false">G76/H76</f>
        <v>0.666666666666667</v>
      </c>
      <c r="L76" s="21" t="n">
        <f aca="false">I76/J76</f>
        <v>0.113636363636364</v>
      </c>
      <c r="M76" s="20" t="n">
        <v>0.4</v>
      </c>
      <c r="N76" s="22" t="s">
        <v>128</v>
      </c>
    </row>
    <row r="77" customFormat="false" ht="64.9" hidden="false" customHeight="false" outlineLevel="0" collapsed="false">
      <c r="A77" s="19" t="s">
        <v>20</v>
      </c>
      <c r="B77" s="19" t="s">
        <v>42</v>
      </c>
      <c r="C77" s="19" t="s">
        <v>43</v>
      </c>
      <c r="D77" s="19" t="s">
        <v>99</v>
      </c>
      <c r="E77" s="19" t="s">
        <v>100</v>
      </c>
      <c r="F77" s="19" t="s">
        <v>192</v>
      </c>
      <c r="G77" s="20" t="n">
        <v>1</v>
      </c>
      <c r="H77" s="20" t="n">
        <v>6</v>
      </c>
      <c r="I77" s="20" t="n">
        <v>2</v>
      </c>
      <c r="J77" s="20" t="n">
        <v>35</v>
      </c>
      <c r="K77" s="21" t="n">
        <f aca="false">G77/H77</f>
        <v>0.166666666666667</v>
      </c>
      <c r="L77" s="21" t="n">
        <f aca="false">I77/J77</f>
        <v>0.0571428571428571</v>
      </c>
      <c r="M77" s="20" t="n">
        <v>0.4</v>
      </c>
      <c r="N77" s="22" t="s">
        <v>130</v>
      </c>
    </row>
    <row r="78" customFormat="false" ht="64.9" hidden="false" customHeight="false" outlineLevel="0" collapsed="false">
      <c r="A78" s="19" t="s">
        <v>20</v>
      </c>
      <c r="B78" s="19" t="s">
        <v>42</v>
      </c>
      <c r="C78" s="19" t="s">
        <v>43</v>
      </c>
      <c r="D78" s="19" t="s">
        <v>103</v>
      </c>
      <c r="E78" s="19" t="s">
        <v>131</v>
      </c>
      <c r="F78" s="19" t="s">
        <v>193</v>
      </c>
      <c r="G78" s="20" t="n">
        <v>5</v>
      </c>
      <c r="H78" s="20" t="n">
        <v>10</v>
      </c>
      <c r="I78" s="20" t="n">
        <v>7</v>
      </c>
      <c r="J78" s="20" t="n">
        <v>58</v>
      </c>
      <c r="K78" s="21" t="n">
        <f aca="false">G78/H78</f>
        <v>0.5</v>
      </c>
      <c r="L78" s="21" t="n">
        <f aca="false">I78/J78</f>
        <v>0.120689655172414</v>
      </c>
      <c r="M78" s="20" t="n">
        <v>0.4</v>
      </c>
      <c r="N78" s="22" t="s">
        <v>133</v>
      </c>
    </row>
    <row r="79" customFormat="false" ht="64.9" hidden="false" customHeight="false" outlineLevel="0" collapsed="false">
      <c r="A79" s="19" t="s">
        <v>20</v>
      </c>
      <c r="B79" s="19" t="s">
        <v>42</v>
      </c>
      <c r="C79" s="19" t="s">
        <v>43</v>
      </c>
      <c r="D79" s="19" t="s">
        <v>107</v>
      </c>
      <c r="E79" s="19" t="s">
        <v>108</v>
      </c>
      <c r="F79" s="19" t="s">
        <v>194</v>
      </c>
      <c r="G79" s="20" t="n">
        <v>4</v>
      </c>
      <c r="H79" s="20" t="n">
        <v>11</v>
      </c>
      <c r="I79" s="20" t="n">
        <v>5</v>
      </c>
      <c r="J79" s="20" t="n">
        <v>60</v>
      </c>
      <c r="K79" s="21" t="n">
        <f aca="false">G79/H79</f>
        <v>0.363636363636364</v>
      </c>
      <c r="L79" s="21" t="n">
        <f aca="false">I79/J79</f>
        <v>0.0833333333333333</v>
      </c>
      <c r="M79" s="20" t="n">
        <v>0.4</v>
      </c>
      <c r="N79" s="22" t="s">
        <v>135</v>
      </c>
    </row>
    <row r="80" customFormat="false" ht="64.9" hidden="false" customHeight="false" outlineLevel="0" collapsed="false">
      <c r="A80" s="19" t="s">
        <v>20</v>
      </c>
      <c r="B80" s="19" t="s">
        <v>42</v>
      </c>
      <c r="C80" s="19" t="s">
        <v>43</v>
      </c>
      <c r="D80" s="19" t="s">
        <v>111</v>
      </c>
      <c r="E80" s="19" t="s">
        <v>112</v>
      </c>
      <c r="F80" s="19" t="s">
        <v>195</v>
      </c>
      <c r="G80" s="20" t="n">
        <v>6</v>
      </c>
      <c r="H80" s="20" t="n">
        <v>8</v>
      </c>
      <c r="I80" s="20" t="n">
        <v>9</v>
      </c>
      <c r="J80" s="20" t="n">
        <v>53</v>
      </c>
      <c r="K80" s="21" t="n">
        <f aca="false">G80/H80</f>
        <v>0.75</v>
      </c>
      <c r="L80" s="21" t="n">
        <f aca="false">I80/J80</f>
        <v>0.169811320754717</v>
      </c>
      <c r="M80" s="20" t="n">
        <v>0.4</v>
      </c>
      <c r="N80" s="22" t="s">
        <v>137</v>
      </c>
    </row>
    <row r="81" customFormat="false" ht="64.9" hidden="false" customHeight="false" outlineLevel="0" collapsed="false">
      <c r="A81" s="19" t="s">
        <v>20</v>
      </c>
      <c r="B81" s="19" t="s">
        <v>42</v>
      </c>
      <c r="C81" s="19" t="s">
        <v>43</v>
      </c>
      <c r="D81" s="19" t="s">
        <v>115</v>
      </c>
      <c r="E81" s="19" t="s">
        <v>116</v>
      </c>
      <c r="F81" s="19" t="s">
        <v>196</v>
      </c>
      <c r="G81" s="20" t="n">
        <v>6</v>
      </c>
      <c r="H81" s="20" t="n">
        <v>12</v>
      </c>
      <c r="I81" s="20" t="n">
        <v>8</v>
      </c>
      <c r="J81" s="20" t="n">
        <v>73</v>
      </c>
      <c r="K81" s="21" t="n">
        <f aca="false">G81/H81</f>
        <v>0.5</v>
      </c>
      <c r="L81" s="21" t="n">
        <f aca="false">I81/J81</f>
        <v>0.10958904109589</v>
      </c>
      <c r="M81" s="20" t="n">
        <v>0.5</v>
      </c>
      <c r="N81" s="22" t="s">
        <v>139</v>
      </c>
    </row>
    <row r="82" customFormat="false" ht="52.2" hidden="false" customHeight="false" outlineLevel="0" collapsed="false">
      <c r="A82" s="19" t="s">
        <v>20</v>
      </c>
      <c r="B82" s="19" t="s">
        <v>44</v>
      </c>
      <c r="C82" s="19" t="s">
        <v>45</v>
      </c>
      <c r="D82" s="19" t="s">
        <v>79</v>
      </c>
      <c r="E82" s="19" t="s">
        <v>80</v>
      </c>
      <c r="F82" s="19" t="s">
        <v>197</v>
      </c>
      <c r="G82" s="20" t="n">
        <v>5</v>
      </c>
      <c r="H82" s="20" t="n">
        <v>6</v>
      </c>
      <c r="I82" s="20" t="n">
        <v>6</v>
      </c>
      <c r="J82" s="20" t="n">
        <v>42</v>
      </c>
      <c r="K82" s="21" t="n">
        <f aca="false">G82/H82</f>
        <v>0.833333333333333</v>
      </c>
      <c r="L82" s="21" t="n">
        <f aca="false">I82/J82</f>
        <v>0.142857142857143</v>
      </c>
      <c r="M82" s="20" t="n">
        <v>0.4</v>
      </c>
      <c r="N82" s="22" t="s">
        <v>141</v>
      </c>
    </row>
    <row r="83" customFormat="false" ht="52.2" hidden="false" customHeight="false" outlineLevel="0" collapsed="false">
      <c r="A83" s="19" t="s">
        <v>20</v>
      </c>
      <c r="B83" s="19" t="s">
        <v>44</v>
      </c>
      <c r="C83" s="19" t="s">
        <v>45</v>
      </c>
      <c r="D83" s="19" t="s">
        <v>83</v>
      </c>
      <c r="E83" s="19" t="s">
        <v>84</v>
      </c>
      <c r="F83" s="19" t="s">
        <v>198</v>
      </c>
      <c r="G83" s="20" t="n">
        <v>1</v>
      </c>
      <c r="H83" s="20" t="n">
        <v>8</v>
      </c>
      <c r="I83" s="20" t="n">
        <v>1</v>
      </c>
      <c r="J83" s="20" t="n">
        <v>53</v>
      </c>
      <c r="K83" s="21" t="n">
        <f aca="false">G83/H83</f>
        <v>0.125</v>
      </c>
      <c r="L83" s="21" t="n">
        <f aca="false">I83/J83</f>
        <v>0.0188679245283019</v>
      </c>
      <c r="M83" s="20" t="n">
        <v>0.4</v>
      </c>
      <c r="N83" s="22" t="s">
        <v>143</v>
      </c>
    </row>
    <row r="84" customFormat="false" ht="52.2" hidden="false" customHeight="false" outlineLevel="0" collapsed="false">
      <c r="A84" s="19" t="s">
        <v>20</v>
      </c>
      <c r="B84" s="19" t="s">
        <v>44</v>
      </c>
      <c r="C84" s="19" t="s">
        <v>45</v>
      </c>
      <c r="D84" s="19" t="s">
        <v>87</v>
      </c>
      <c r="E84" s="19" t="s">
        <v>88</v>
      </c>
      <c r="F84" s="19" t="s">
        <v>199</v>
      </c>
      <c r="G84" s="20" t="n">
        <v>2</v>
      </c>
      <c r="H84" s="20" t="n">
        <v>8</v>
      </c>
      <c r="I84" s="20" t="n">
        <v>3</v>
      </c>
      <c r="J84" s="20" t="n">
        <v>69</v>
      </c>
      <c r="K84" s="21" t="n">
        <f aca="false">G84/H84</f>
        <v>0.25</v>
      </c>
      <c r="L84" s="21" t="n">
        <f aca="false">I84/J84</f>
        <v>0.0434782608695652</v>
      </c>
      <c r="M84" s="20" t="n">
        <v>0.4</v>
      </c>
      <c r="N84" s="22" t="s">
        <v>145</v>
      </c>
    </row>
    <row r="85" customFormat="false" ht="52.2" hidden="false" customHeight="false" outlineLevel="0" collapsed="false">
      <c r="A85" s="19" t="s">
        <v>20</v>
      </c>
      <c r="B85" s="19" t="s">
        <v>44</v>
      </c>
      <c r="C85" s="19" t="s">
        <v>45</v>
      </c>
      <c r="D85" s="19" t="s">
        <v>91</v>
      </c>
      <c r="E85" s="19" t="s">
        <v>92</v>
      </c>
      <c r="F85" s="19" t="s">
        <v>180</v>
      </c>
      <c r="G85" s="20" t="n">
        <v>2</v>
      </c>
      <c r="H85" s="20" t="n">
        <v>10</v>
      </c>
      <c r="I85" s="20" t="n">
        <v>3</v>
      </c>
      <c r="J85" s="20" t="n">
        <v>55</v>
      </c>
      <c r="K85" s="21" t="n">
        <f aca="false">G85/H85</f>
        <v>0.2</v>
      </c>
      <c r="L85" s="21" t="n">
        <f aca="false">I85/J85</f>
        <v>0.0545454545454545</v>
      </c>
      <c r="M85" s="20" t="n">
        <v>0.4</v>
      </c>
      <c r="N85" s="22" t="s">
        <v>147</v>
      </c>
    </row>
    <row r="86" customFormat="false" ht="52.2" hidden="false" customHeight="false" outlineLevel="0" collapsed="false">
      <c r="A86" s="19" t="s">
        <v>20</v>
      </c>
      <c r="B86" s="19" t="s">
        <v>44</v>
      </c>
      <c r="C86" s="19" t="s">
        <v>45</v>
      </c>
      <c r="D86" s="19" t="s">
        <v>95</v>
      </c>
      <c r="E86" s="19" t="s">
        <v>96</v>
      </c>
      <c r="F86" s="19" t="s">
        <v>200</v>
      </c>
      <c r="G86" s="20" t="n">
        <v>4</v>
      </c>
      <c r="H86" s="20" t="n">
        <v>9</v>
      </c>
      <c r="I86" s="20" t="n">
        <v>3</v>
      </c>
      <c r="J86" s="20" t="n">
        <v>44</v>
      </c>
      <c r="K86" s="21" t="n">
        <f aca="false">G86/H86</f>
        <v>0.444444444444444</v>
      </c>
      <c r="L86" s="21" t="n">
        <f aca="false">I86/J86</f>
        <v>0.0681818181818182</v>
      </c>
      <c r="M86" s="20" t="n">
        <v>0.4</v>
      </c>
      <c r="N86" s="22" t="s">
        <v>149</v>
      </c>
    </row>
    <row r="87" customFormat="false" ht="52.2" hidden="false" customHeight="false" outlineLevel="0" collapsed="false">
      <c r="A87" s="19" t="s">
        <v>20</v>
      </c>
      <c r="B87" s="19" t="s">
        <v>44</v>
      </c>
      <c r="C87" s="19" t="s">
        <v>45</v>
      </c>
      <c r="D87" s="19" t="s">
        <v>99</v>
      </c>
      <c r="E87" s="19" t="s">
        <v>100</v>
      </c>
      <c r="F87" s="19" t="s">
        <v>192</v>
      </c>
      <c r="G87" s="20" t="n">
        <v>1</v>
      </c>
      <c r="H87" s="20" t="n">
        <v>6</v>
      </c>
      <c r="I87" s="20" t="n">
        <v>2</v>
      </c>
      <c r="J87" s="20" t="n">
        <v>35</v>
      </c>
      <c r="K87" s="21" t="n">
        <f aca="false">G87/H87</f>
        <v>0.166666666666667</v>
      </c>
      <c r="L87" s="21" t="n">
        <f aca="false">I87/J87</f>
        <v>0.0571428571428571</v>
      </c>
      <c r="M87" s="20" t="n">
        <v>0.4</v>
      </c>
      <c r="N87" s="22" t="s">
        <v>151</v>
      </c>
    </row>
    <row r="88" customFormat="false" ht="52.2" hidden="false" customHeight="false" outlineLevel="0" collapsed="false">
      <c r="A88" s="19" t="s">
        <v>20</v>
      </c>
      <c r="B88" s="19" t="s">
        <v>44</v>
      </c>
      <c r="C88" s="19" t="s">
        <v>45</v>
      </c>
      <c r="D88" s="19" t="s">
        <v>103</v>
      </c>
      <c r="E88" s="19" t="s">
        <v>131</v>
      </c>
      <c r="F88" s="19" t="s">
        <v>201</v>
      </c>
      <c r="G88" s="20" t="n">
        <v>5</v>
      </c>
      <c r="H88" s="20" t="n">
        <v>10</v>
      </c>
      <c r="I88" s="20" t="n">
        <v>6</v>
      </c>
      <c r="J88" s="20" t="n">
        <v>58</v>
      </c>
      <c r="K88" s="21" t="n">
        <f aca="false">G88/H88</f>
        <v>0.5</v>
      </c>
      <c r="L88" s="21" t="n">
        <f aca="false">I88/J88</f>
        <v>0.103448275862069</v>
      </c>
      <c r="M88" s="20" t="n">
        <v>0.4</v>
      </c>
      <c r="N88" s="22" t="s">
        <v>153</v>
      </c>
    </row>
    <row r="89" customFormat="false" ht="52.2" hidden="false" customHeight="false" outlineLevel="0" collapsed="false">
      <c r="A89" s="19" t="s">
        <v>20</v>
      </c>
      <c r="B89" s="19" t="s">
        <v>44</v>
      </c>
      <c r="C89" s="19" t="s">
        <v>45</v>
      </c>
      <c r="D89" s="19" t="s">
        <v>107</v>
      </c>
      <c r="E89" s="19" t="s">
        <v>108</v>
      </c>
      <c r="F89" s="19" t="s">
        <v>202</v>
      </c>
      <c r="G89" s="20" t="n">
        <v>5</v>
      </c>
      <c r="H89" s="20" t="n">
        <v>11</v>
      </c>
      <c r="I89" s="20" t="n">
        <v>7</v>
      </c>
      <c r="J89" s="20" t="n">
        <v>60</v>
      </c>
      <c r="K89" s="21" t="n">
        <f aca="false">G89/H89</f>
        <v>0.454545454545455</v>
      </c>
      <c r="L89" s="21" t="n">
        <f aca="false">I89/J89</f>
        <v>0.116666666666667</v>
      </c>
      <c r="M89" s="20" t="n">
        <v>0.4</v>
      </c>
      <c r="N89" s="22" t="s">
        <v>155</v>
      </c>
    </row>
    <row r="90" customFormat="false" ht="52.2" hidden="false" customHeight="false" outlineLevel="0" collapsed="false">
      <c r="A90" s="19" t="s">
        <v>20</v>
      </c>
      <c r="B90" s="19" t="s">
        <v>44</v>
      </c>
      <c r="C90" s="19" t="s">
        <v>45</v>
      </c>
      <c r="D90" s="19" t="s">
        <v>111</v>
      </c>
      <c r="E90" s="19" t="s">
        <v>112</v>
      </c>
      <c r="F90" s="19" t="s">
        <v>203</v>
      </c>
      <c r="G90" s="20" t="n">
        <v>4</v>
      </c>
      <c r="H90" s="20" t="n">
        <v>8</v>
      </c>
      <c r="I90" s="20" t="n">
        <v>7</v>
      </c>
      <c r="J90" s="20" t="n">
        <v>53</v>
      </c>
      <c r="K90" s="21" t="n">
        <f aca="false">G90/H90</f>
        <v>0.5</v>
      </c>
      <c r="L90" s="21" t="n">
        <f aca="false">I90/J90</f>
        <v>0.132075471698113</v>
      </c>
      <c r="M90" s="20" t="n">
        <v>0.4</v>
      </c>
      <c r="N90" s="22" t="s">
        <v>157</v>
      </c>
    </row>
    <row r="91" customFormat="false" ht="52.2" hidden="false" customHeight="false" outlineLevel="0" collapsed="false">
      <c r="A91" s="19" t="s">
        <v>20</v>
      </c>
      <c r="B91" s="19" t="s">
        <v>44</v>
      </c>
      <c r="C91" s="19" t="s">
        <v>45</v>
      </c>
      <c r="D91" s="19" t="s">
        <v>115</v>
      </c>
      <c r="E91" s="19" t="s">
        <v>116</v>
      </c>
      <c r="F91" s="19" t="s">
        <v>204</v>
      </c>
      <c r="G91" s="20" t="n">
        <v>7</v>
      </c>
      <c r="H91" s="20" t="n">
        <v>12</v>
      </c>
      <c r="I91" s="20" t="n">
        <v>9</v>
      </c>
      <c r="J91" s="20" t="n">
        <v>73</v>
      </c>
      <c r="K91" s="21" t="n">
        <f aca="false">G91/H91</f>
        <v>0.583333333333333</v>
      </c>
      <c r="L91" s="21" t="n">
        <f aca="false">I91/J91</f>
        <v>0.123287671232877</v>
      </c>
      <c r="M91" s="20" t="n">
        <v>0.5</v>
      </c>
      <c r="N91" s="22" t="s">
        <v>159</v>
      </c>
    </row>
    <row r="92" customFormat="false" ht="52.2" hidden="false" customHeight="false" outlineLevel="0" collapsed="false">
      <c r="A92" s="19" t="s">
        <v>22</v>
      </c>
      <c r="B92" s="19" t="s">
        <v>40</v>
      </c>
      <c r="C92" s="19" t="s">
        <v>41</v>
      </c>
      <c r="D92" s="19" t="s">
        <v>79</v>
      </c>
      <c r="E92" s="19" t="s">
        <v>80</v>
      </c>
      <c r="F92" s="19" t="s">
        <v>205</v>
      </c>
      <c r="G92" s="20" t="n">
        <v>2</v>
      </c>
      <c r="H92" s="20" t="n">
        <v>6</v>
      </c>
      <c r="I92" s="20" t="n">
        <v>2</v>
      </c>
      <c r="J92" s="20" t="n">
        <v>42</v>
      </c>
      <c r="K92" s="21" t="n">
        <f aca="false">G92/H92</f>
        <v>0.333333333333333</v>
      </c>
      <c r="L92" s="21" t="n">
        <f aca="false">I92/J92</f>
        <v>0.0476190476190476</v>
      </c>
      <c r="M92" s="20" t="n">
        <v>0.4</v>
      </c>
      <c r="N92" s="22" t="s">
        <v>82</v>
      </c>
    </row>
    <row r="93" customFormat="false" ht="52.2" hidden="false" customHeight="false" outlineLevel="0" collapsed="false">
      <c r="A93" s="19" t="s">
        <v>22</v>
      </c>
      <c r="B93" s="19" t="s">
        <v>40</v>
      </c>
      <c r="C93" s="19" t="s">
        <v>41</v>
      </c>
      <c r="D93" s="19" t="s">
        <v>83</v>
      </c>
      <c r="E93" s="19" t="s">
        <v>84</v>
      </c>
      <c r="F93" s="19" t="s">
        <v>206</v>
      </c>
      <c r="G93" s="20" t="n">
        <v>2</v>
      </c>
      <c r="H93" s="20" t="n">
        <v>8</v>
      </c>
      <c r="I93" s="20" t="n">
        <v>6</v>
      </c>
      <c r="J93" s="20" t="n">
        <v>53</v>
      </c>
      <c r="K93" s="21" t="n">
        <f aca="false">G93/H93</f>
        <v>0.25</v>
      </c>
      <c r="L93" s="21" t="n">
        <f aca="false">I93/J93</f>
        <v>0.113207547169811</v>
      </c>
      <c r="M93" s="20" t="n">
        <v>0.5</v>
      </c>
      <c r="N93" s="22" t="s">
        <v>86</v>
      </c>
    </row>
    <row r="94" customFormat="false" ht="52.2" hidden="false" customHeight="false" outlineLevel="0" collapsed="false">
      <c r="A94" s="19" t="s">
        <v>22</v>
      </c>
      <c r="B94" s="19" t="s">
        <v>40</v>
      </c>
      <c r="C94" s="19" t="s">
        <v>41</v>
      </c>
      <c r="D94" s="19" t="s">
        <v>87</v>
      </c>
      <c r="E94" s="19" t="s">
        <v>88</v>
      </c>
      <c r="F94" s="19" t="s">
        <v>207</v>
      </c>
      <c r="G94" s="20" t="n">
        <v>4</v>
      </c>
      <c r="H94" s="20" t="n">
        <v>8</v>
      </c>
      <c r="I94" s="20" t="n">
        <v>8</v>
      </c>
      <c r="J94" s="20" t="n">
        <v>69</v>
      </c>
      <c r="K94" s="21" t="n">
        <f aca="false">G94/H94</f>
        <v>0.5</v>
      </c>
      <c r="L94" s="21" t="n">
        <f aca="false">I94/J94</f>
        <v>0.115942028985507</v>
      </c>
      <c r="M94" s="20" t="n">
        <v>0.5</v>
      </c>
      <c r="N94" s="22" t="s">
        <v>90</v>
      </c>
    </row>
    <row r="95" customFormat="false" ht="52.2" hidden="false" customHeight="false" outlineLevel="0" collapsed="false">
      <c r="A95" s="19" t="s">
        <v>22</v>
      </c>
      <c r="B95" s="19" t="s">
        <v>40</v>
      </c>
      <c r="C95" s="19" t="s">
        <v>41</v>
      </c>
      <c r="D95" s="19" t="s">
        <v>91</v>
      </c>
      <c r="E95" s="19" t="s">
        <v>92</v>
      </c>
      <c r="F95" s="19" t="s">
        <v>208</v>
      </c>
      <c r="G95" s="20" t="n">
        <v>1</v>
      </c>
      <c r="H95" s="20" t="n">
        <v>10</v>
      </c>
      <c r="I95" s="20" t="n">
        <v>1</v>
      </c>
      <c r="J95" s="20" t="n">
        <v>55</v>
      </c>
      <c r="K95" s="21" t="n">
        <f aca="false">G95/H95</f>
        <v>0.1</v>
      </c>
      <c r="L95" s="21" t="n">
        <f aca="false">I95/J95</f>
        <v>0.0181818181818182</v>
      </c>
      <c r="M95" s="20" t="n">
        <v>0.4</v>
      </c>
      <c r="N95" s="22" t="s">
        <v>94</v>
      </c>
    </row>
    <row r="96" customFormat="false" ht="52.2" hidden="false" customHeight="false" outlineLevel="0" collapsed="false">
      <c r="A96" s="19" t="s">
        <v>22</v>
      </c>
      <c r="B96" s="19" t="s">
        <v>40</v>
      </c>
      <c r="C96" s="19" t="s">
        <v>41</v>
      </c>
      <c r="D96" s="19" t="s">
        <v>95</v>
      </c>
      <c r="E96" s="19" t="s">
        <v>96</v>
      </c>
      <c r="F96" s="19" t="s">
        <v>209</v>
      </c>
      <c r="G96" s="20" t="n">
        <v>2</v>
      </c>
      <c r="H96" s="20" t="n">
        <v>9</v>
      </c>
      <c r="I96" s="20" t="n">
        <v>4</v>
      </c>
      <c r="J96" s="20" t="n">
        <v>44</v>
      </c>
      <c r="K96" s="21" t="n">
        <f aca="false">G96/H96</f>
        <v>0.222222222222222</v>
      </c>
      <c r="L96" s="21" t="n">
        <f aca="false">I96/J96</f>
        <v>0.0909090909090909</v>
      </c>
      <c r="M96" s="20" t="n">
        <v>0.4</v>
      </c>
      <c r="N96" s="22" t="s">
        <v>98</v>
      </c>
    </row>
    <row r="97" customFormat="false" ht="52.2" hidden="false" customHeight="false" outlineLevel="0" collapsed="false">
      <c r="A97" s="19" t="s">
        <v>22</v>
      </c>
      <c r="B97" s="19" t="s">
        <v>40</v>
      </c>
      <c r="C97" s="19" t="s">
        <v>41</v>
      </c>
      <c r="D97" s="19" t="s">
        <v>99</v>
      </c>
      <c r="E97" s="19" t="s">
        <v>100</v>
      </c>
      <c r="F97" s="19" t="s">
        <v>210</v>
      </c>
      <c r="G97" s="20" t="n">
        <v>1</v>
      </c>
      <c r="H97" s="20" t="n">
        <v>6</v>
      </c>
      <c r="I97" s="20" t="n">
        <v>1</v>
      </c>
      <c r="J97" s="20" t="n">
        <v>35</v>
      </c>
      <c r="K97" s="21" t="n">
        <f aca="false">G97/H97</f>
        <v>0.166666666666667</v>
      </c>
      <c r="L97" s="21" t="n">
        <f aca="false">I97/J97</f>
        <v>0.0285714285714286</v>
      </c>
      <c r="M97" s="20" t="n">
        <v>0.4</v>
      </c>
      <c r="N97" s="22" t="s">
        <v>102</v>
      </c>
    </row>
    <row r="98" customFormat="false" ht="52.2" hidden="false" customHeight="false" outlineLevel="0" collapsed="false">
      <c r="A98" s="19" t="s">
        <v>22</v>
      </c>
      <c r="B98" s="19" t="s">
        <v>40</v>
      </c>
      <c r="C98" s="19" t="s">
        <v>41</v>
      </c>
      <c r="D98" s="19" t="s">
        <v>103</v>
      </c>
      <c r="E98" s="19" t="s">
        <v>104</v>
      </c>
      <c r="F98" s="19" t="s">
        <v>211</v>
      </c>
      <c r="G98" s="20" t="n">
        <v>6</v>
      </c>
      <c r="H98" s="20" t="n">
        <v>13</v>
      </c>
      <c r="I98" s="20" t="n">
        <v>6</v>
      </c>
      <c r="J98" s="20" t="n">
        <v>67</v>
      </c>
      <c r="K98" s="21" t="n">
        <f aca="false">G98/H98</f>
        <v>0.461538461538462</v>
      </c>
      <c r="L98" s="21" t="n">
        <f aca="false">I98/J98</f>
        <v>0.0895522388059701</v>
      </c>
      <c r="M98" s="20" t="n">
        <v>0.5</v>
      </c>
      <c r="N98" s="22" t="s">
        <v>106</v>
      </c>
    </row>
    <row r="99" customFormat="false" ht="52.2" hidden="false" customHeight="false" outlineLevel="0" collapsed="false">
      <c r="A99" s="19" t="s">
        <v>22</v>
      </c>
      <c r="B99" s="19" t="s">
        <v>40</v>
      </c>
      <c r="C99" s="19" t="s">
        <v>41</v>
      </c>
      <c r="D99" s="19" t="s">
        <v>107</v>
      </c>
      <c r="E99" s="19" t="s">
        <v>108</v>
      </c>
      <c r="F99" s="19" t="s">
        <v>212</v>
      </c>
      <c r="G99" s="20" t="n">
        <v>4</v>
      </c>
      <c r="H99" s="20" t="n">
        <v>11</v>
      </c>
      <c r="I99" s="20" t="n">
        <v>7</v>
      </c>
      <c r="J99" s="20" t="n">
        <v>60</v>
      </c>
      <c r="K99" s="21" t="n">
        <f aca="false">G99/H99</f>
        <v>0.363636363636364</v>
      </c>
      <c r="L99" s="21" t="n">
        <f aca="false">I99/J99</f>
        <v>0.116666666666667</v>
      </c>
      <c r="M99" s="20" t="n">
        <v>0.7</v>
      </c>
      <c r="N99" s="22" t="s">
        <v>110</v>
      </c>
    </row>
    <row r="100" customFormat="false" ht="52.2" hidden="false" customHeight="false" outlineLevel="0" collapsed="false">
      <c r="A100" s="19" t="s">
        <v>22</v>
      </c>
      <c r="B100" s="19" t="s">
        <v>40</v>
      </c>
      <c r="C100" s="19" t="s">
        <v>41</v>
      </c>
      <c r="D100" s="19" t="s">
        <v>111</v>
      </c>
      <c r="E100" s="19" t="s">
        <v>112</v>
      </c>
      <c r="F100" s="19" t="s">
        <v>213</v>
      </c>
      <c r="G100" s="20" t="n">
        <v>4</v>
      </c>
      <c r="H100" s="20" t="n">
        <v>8</v>
      </c>
      <c r="I100" s="20" t="n">
        <v>4</v>
      </c>
      <c r="J100" s="20" t="n">
        <v>53</v>
      </c>
      <c r="K100" s="21" t="n">
        <f aca="false">G100/H100</f>
        <v>0.5</v>
      </c>
      <c r="L100" s="21" t="n">
        <f aca="false">I100/J100</f>
        <v>0.0754716981132075</v>
      </c>
      <c r="M100" s="20" t="n">
        <v>0.4</v>
      </c>
      <c r="N100" s="22" t="s">
        <v>114</v>
      </c>
    </row>
    <row r="101" customFormat="false" ht="52.2" hidden="false" customHeight="false" outlineLevel="0" collapsed="false">
      <c r="A101" s="19" t="s">
        <v>22</v>
      </c>
      <c r="B101" s="19" t="s">
        <v>40</v>
      </c>
      <c r="C101" s="19" t="s">
        <v>41</v>
      </c>
      <c r="D101" s="19" t="s">
        <v>115</v>
      </c>
      <c r="E101" s="19" t="s">
        <v>116</v>
      </c>
      <c r="F101" s="19" t="s">
        <v>214</v>
      </c>
      <c r="G101" s="20" t="n">
        <v>3</v>
      </c>
      <c r="H101" s="20" t="n">
        <v>12</v>
      </c>
      <c r="I101" s="20" t="n">
        <v>3</v>
      </c>
      <c r="J101" s="20" t="n">
        <v>73</v>
      </c>
      <c r="K101" s="21" t="n">
        <f aca="false">G101/H101</f>
        <v>0.25</v>
      </c>
      <c r="L101" s="21" t="n">
        <f aca="false">I101/J101</f>
        <v>0.0410958904109589</v>
      </c>
      <c r="M101" s="20" t="n">
        <v>0.5</v>
      </c>
      <c r="N101" s="22" t="s">
        <v>118</v>
      </c>
    </row>
    <row r="102" customFormat="false" ht="64.9" hidden="false" customHeight="false" outlineLevel="0" collapsed="false">
      <c r="A102" s="19" t="s">
        <v>22</v>
      </c>
      <c r="B102" s="19" t="s">
        <v>42</v>
      </c>
      <c r="C102" s="19" t="s">
        <v>43</v>
      </c>
      <c r="D102" s="19" t="s">
        <v>79</v>
      </c>
      <c r="E102" s="19" t="s">
        <v>80</v>
      </c>
      <c r="F102" s="19" t="s">
        <v>215</v>
      </c>
      <c r="G102" s="20" t="n">
        <v>1</v>
      </c>
      <c r="H102" s="20" t="n">
        <v>6</v>
      </c>
      <c r="I102" s="20" t="n">
        <v>1</v>
      </c>
      <c r="J102" s="20" t="n">
        <v>42</v>
      </c>
      <c r="K102" s="21" t="n">
        <f aca="false">G102/H102</f>
        <v>0.166666666666667</v>
      </c>
      <c r="L102" s="21" t="n">
        <f aca="false">I102/J102</f>
        <v>0.0238095238095238</v>
      </c>
      <c r="M102" s="20" t="n">
        <v>0.4</v>
      </c>
      <c r="N102" s="22" t="s">
        <v>120</v>
      </c>
    </row>
    <row r="103" customFormat="false" ht="64.9" hidden="false" customHeight="false" outlineLevel="0" collapsed="false">
      <c r="A103" s="19" t="s">
        <v>22</v>
      </c>
      <c r="B103" s="19" t="s">
        <v>42</v>
      </c>
      <c r="C103" s="19" t="s">
        <v>43</v>
      </c>
      <c r="D103" s="19" t="s">
        <v>83</v>
      </c>
      <c r="E103" s="19" t="s">
        <v>84</v>
      </c>
      <c r="F103" s="19" t="s">
        <v>84</v>
      </c>
      <c r="G103" s="20" t="n">
        <v>0</v>
      </c>
      <c r="H103" s="20" t="n">
        <v>8</v>
      </c>
      <c r="I103" s="20" t="n">
        <v>0</v>
      </c>
      <c r="J103" s="20" t="n">
        <v>53</v>
      </c>
      <c r="K103" s="21" t="n">
        <f aca="false">G103/H103</f>
        <v>0</v>
      </c>
      <c r="L103" s="21" t="n">
        <f aca="false">I103/J103</f>
        <v>0</v>
      </c>
      <c r="M103" s="20" t="n">
        <v>0.4</v>
      </c>
      <c r="N103" s="22" t="s">
        <v>122</v>
      </c>
    </row>
    <row r="104" customFormat="false" ht="64.9" hidden="false" customHeight="false" outlineLevel="0" collapsed="false">
      <c r="A104" s="19" t="s">
        <v>22</v>
      </c>
      <c r="B104" s="19" t="s">
        <v>42</v>
      </c>
      <c r="C104" s="19" t="s">
        <v>43</v>
      </c>
      <c r="D104" s="19" t="s">
        <v>87</v>
      </c>
      <c r="E104" s="19" t="s">
        <v>88</v>
      </c>
      <c r="F104" s="19" t="s">
        <v>216</v>
      </c>
      <c r="G104" s="20" t="n">
        <v>1</v>
      </c>
      <c r="H104" s="20" t="n">
        <v>8</v>
      </c>
      <c r="I104" s="20" t="n">
        <v>1</v>
      </c>
      <c r="J104" s="20" t="n">
        <v>69</v>
      </c>
      <c r="K104" s="21" t="n">
        <f aca="false">G104/H104</f>
        <v>0.125</v>
      </c>
      <c r="L104" s="21" t="n">
        <f aca="false">I104/J104</f>
        <v>0.0144927536231884</v>
      </c>
      <c r="M104" s="20" t="n">
        <v>0.5</v>
      </c>
      <c r="N104" s="22" t="s">
        <v>124</v>
      </c>
    </row>
    <row r="105" customFormat="false" ht="64.9" hidden="false" customHeight="false" outlineLevel="0" collapsed="false">
      <c r="A105" s="19" t="s">
        <v>22</v>
      </c>
      <c r="B105" s="19" t="s">
        <v>42</v>
      </c>
      <c r="C105" s="19" t="s">
        <v>43</v>
      </c>
      <c r="D105" s="19" t="s">
        <v>91</v>
      </c>
      <c r="E105" s="19" t="s">
        <v>92</v>
      </c>
      <c r="F105" s="19" t="s">
        <v>92</v>
      </c>
      <c r="G105" s="20" t="n">
        <v>0</v>
      </c>
      <c r="H105" s="20" t="n">
        <v>10</v>
      </c>
      <c r="I105" s="20" t="n">
        <v>0</v>
      </c>
      <c r="J105" s="20" t="n">
        <v>55</v>
      </c>
      <c r="K105" s="21" t="n">
        <f aca="false">G105/H105</f>
        <v>0</v>
      </c>
      <c r="L105" s="21" t="n">
        <f aca="false">I105/J105</f>
        <v>0</v>
      </c>
      <c r="M105" s="20" t="n">
        <v>0.5</v>
      </c>
      <c r="N105" s="22" t="s">
        <v>126</v>
      </c>
    </row>
    <row r="106" customFormat="false" ht="64.9" hidden="false" customHeight="false" outlineLevel="0" collapsed="false">
      <c r="A106" s="19" t="s">
        <v>22</v>
      </c>
      <c r="B106" s="19" t="s">
        <v>42</v>
      </c>
      <c r="C106" s="19" t="s">
        <v>43</v>
      </c>
      <c r="D106" s="19" t="s">
        <v>95</v>
      </c>
      <c r="E106" s="19" t="s">
        <v>96</v>
      </c>
      <c r="F106" s="19" t="s">
        <v>217</v>
      </c>
      <c r="G106" s="20" t="n">
        <v>1</v>
      </c>
      <c r="H106" s="20" t="n">
        <v>9</v>
      </c>
      <c r="I106" s="20" t="n">
        <v>1</v>
      </c>
      <c r="J106" s="20" t="n">
        <v>44</v>
      </c>
      <c r="K106" s="21" t="n">
        <f aca="false">G106/H106</f>
        <v>0.111111111111111</v>
      </c>
      <c r="L106" s="21" t="n">
        <f aca="false">I106/J106</f>
        <v>0.0227272727272727</v>
      </c>
      <c r="M106" s="20" t="n">
        <v>0.4</v>
      </c>
      <c r="N106" s="22" t="s">
        <v>128</v>
      </c>
    </row>
    <row r="107" customFormat="false" ht="64.9" hidden="false" customHeight="false" outlineLevel="0" collapsed="false">
      <c r="A107" s="19" t="s">
        <v>22</v>
      </c>
      <c r="B107" s="19" t="s">
        <v>42</v>
      </c>
      <c r="C107" s="19" t="s">
        <v>43</v>
      </c>
      <c r="D107" s="19" t="s">
        <v>99</v>
      </c>
      <c r="E107" s="19" t="s">
        <v>100</v>
      </c>
      <c r="F107" s="19" t="s">
        <v>218</v>
      </c>
      <c r="G107" s="20" t="n">
        <v>1</v>
      </c>
      <c r="H107" s="20" t="n">
        <v>6</v>
      </c>
      <c r="I107" s="20" t="n">
        <v>1</v>
      </c>
      <c r="J107" s="20" t="n">
        <v>35</v>
      </c>
      <c r="K107" s="21" t="n">
        <f aca="false">G107/H107</f>
        <v>0.166666666666667</v>
      </c>
      <c r="L107" s="21" t="n">
        <f aca="false">I107/J107</f>
        <v>0.0285714285714286</v>
      </c>
      <c r="M107" s="20" t="n">
        <v>0.4</v>
      </c>
      <c r="N107" s="22" t="s">
        <v>130</v>
      </c>
    </row>
    <row r="108" customFormat="false" ht="64.9" hidden="false" customHeight="false" outlineLevel="0" collapsed="false">
      <c r="A108" s="19" t="s">
        <v>22</v>
      </c>
      <c r="B108" s="19" t="s">
        <v>42</v>
      </c>
      <c r="C108" s="19" t="s">
        <v>43</v>
      </c>
      <c r="D108" s="19" t="s">
        <v>103</v>
      </c>
      <c r="E108" s="19" t="s">
        <v>131</v>
      </c>
      <c r="F108" s="19" t="s">
        <v>219</v>
      </c>
      <c r="G108" s="20" t="n">
        <v>2</v>
      </c>
      <c r="H108" s="20" t="n">
        <v>10</v>
      </c>
      <c r="I108" s="20" t="n">
        <v>1</v>
      </c>
      <c r="J108" s="20" t="n">
        <v>58</v>
      </c>
      <c r="K108" s="21" t="n">
        <f aca="false">G108/H108</f>
        <v>0.2</v>
      </c>
      <c r="L108" s="21" t="n">
        <f aca="false">I108/J108</f>
        <v>0.0172413793103448</v>
      </c>
      <c r="M108" s="20" t="n">
        <v>0.5</v>
      </c>
      <c r="N108" s="22" t="s">
        <v>133</v>
      </c>
    </row>
    <row r="109" customFormat="false" ht="64.9" hidden="false" customHeight="false" outlineLevel="0" collapsed="false">
      <c r="A109" s="19" t="s">
        <v>22</v>
      </c>
      <c r="B109" s="19" t="s">
        <v>42</v>
      </c>
      <c r="C109" s="19" t="s">
        <v>43</v>
      </c>
      <c r="D109" s="19" t="s">
        <v>107</v>
      </c>
      <c r="E109" s="19" t="s">
        <v>108</v>
      </c>
      <c r="F109" s="19" t="s">
        <v>220</v>
      </c>
      <c r="G109" s="20" t="n">
        <v>2</v>
      </c>
      <c r="H109" s="20" t="n">
        <v>11</v>
      </c>
      <c r="I109" s="20" t="n">
        <v>2</v>
      </c>
      <c r="J109" s="20" t="n">
        <v>60</v>
      </c>
      <c r="K109" s="21" t="n">
        <f aca="false">G109/H109</f>
        <v>0.181818181818182</v>
      </c>
      <c r="L109" s="21" t="n">
        <f aca="false">I109/J109</f>
        <v>0.0333333333333333</v>
      </c>
      <c r="M109" s="20" t="n">
        <v>0.5</v>
      </c>
      <c r="N109" s="22" t="s">
        <v>135</v>
      </c>
    </row>
    <row r="110" customFormat="false" ht="64.9" hidden="false" customHeight="false" outlineLevel="0" collapsed="false">
      <c r="A110" s="19" t="s">
        <v>22</v>
      </c>
      <c r="B110" s="19" t="s">
        <v>42</v>
      </c>
      <c r="C110" s="19" t="s">
        <v>43</v>
      </c>
      <c r="D110" s="19" t="s">
        <v>111</v>
      </c>
      <c r="E110" s="19" t="s">
        <v>112</v>
      </c>
      <c r="F110" s="19" t="s">
        <v>221</v>
      </c>
      <c r="G110" s="20" t="n">
        <v>6</v>
      </c>
      <c r="H110" s="20" t="n">
        <v>8</v>
      </c>
      <c r="I110" s="20" t="n">
        <v>11</v>
      </c>
      <c r="J110" s="20" t="n">
        <v>53</v>
      </c>
      <c r="K110" s="21" t="n">
        <f aca="false">G110/H110</f>
        <v>0.75</v>
      </c>
      <c r="L110" s="21" t="n">
        <f aca="false">I110/J110</f>
        <v>0.207547169811321</v>
      </c>
      <c r="M110" s="20" t="n">
        <v>0.4</v>
      </c>
      <c r="N110" s="22" t="s">
        <v>137</v>
      </c>
    </row>
    <row r="111" customFormat="false" ht="64.9" hidden="false" customHeight="false" outlineLevel="0" collapsed="false">
      <c r="A111" s="19" t="s">
        <v>22</v>
      </c>
      <c r="B111" s="19" t="s">
        <v>42</v>
      </c>
      <c r="C111" s="19" t="s">
        <v>43</v>
      </c>
      <c r="D111" s="19" t="s">
        <v>115</v>
      </c>
      <c r="E111" s="19" t="s">
        <v>116</v>
      </c>
      <c r="F111" s="19" t="s">
        <v>222</v>
      </c>
      <c r="G111" s="20" t="n">
        <v>5</v>
      </c>
      <c r="H111" s="20" t="n">
        <v>12</v>
      </c>
      <c r="I111" s="20" t="n">
        <v>7</v>
      </c>
      <c r="J111" s="20" t="n">
        <v>73</v>
      </c>
      <c r="K111" s="21" t="n">
        <f aca="false">G111/H111</f>
        <v>0.416666666666667</v>
      </c>
      <c r="L111" s="21" t="n">
        <f aca="false">I111/J111</f>
        <v>0.0958904109589041</v>
      </c>
      <c r="M111" s="20" t="n">
        <v>0.5</v>
      </c>
      <c r="N111" s="22" t="s">
        <v>139</v>
      </c>
    </row>
    <row r="112" customFormat="false" ht="52.2" hidden="false" customHeight="false" outlineLevel="0" collapsed="false">
      <c r="A112" s="19" t="s">
        <v>22</v>
      </c>
      <c r="B112" s="19" t="s">
        <v>44</v>
      </c>
      <c r="C112" s="19" t="s">
        <v>45</v>
      </c>
      <c r="D112" s="19" t="s">
        <v>79</v>
      </c>
      <c r="E112" s="19" t="s">
        <v>80</v>
      </c>
      <c r="F112" s="19" t="s">
        <v>223</v>
      </c>
      <c r="G112" s="20" t="n">
        <v>2</v>
      </c>
      <c r="H112" s="20" t="n">
        <v>6</v>
      </c>
      <c r="I112" s="20" t="n">
        <v>2</v>
      </c>
      <c r="J112" s="20" t="n">
        <v>42</v>
      </c>
      <c r="K112" s="21" t="n">
        <f aca="false">G112/H112</f>
        <v>0.333333333333333</v>
      </c>
      <c r="L112" s="21" t="n">
        <f aca="false">I112/J112</f>
        <v>0.0476190476190476</v>
      </c>
      <c r="M112" s="20" t="n">
        <v>0.4</v>
      </c>
      <c r="N112" s="22" t="s">
        <v>141</v>
      </c>
    </row>
    <row r="113" customFormat="false" ht="52.2" hidden="false" customHeight="false" outlineLevel="0" collapsed="false">
      <c r="A113" s="19" t="s">
        <v>22</v>
      </c>
      <c r="B113" s="19" t="s">
        <v>44</v>
      </c>
      <c r="C113" s="19" t="s">
        <v>45</v>
      </c>
      <c r="D113" s="19" t="s">
        <v>83</v>
      </c>
      <c r="E113" s="19" t="s">
        <v>84</v>
      </c>
      <c r="F113" s="19" t="s">
        <v>224</v>
      </c>
      <c r="G113" s="20" t="n">
        <v>2</v>
      </c>
      <c r="H113" s="20" t="n">
        <v>8</v>
      </c>
      <c r="I113" s="20" t="n">
        <v>2</v>
      </c>
      <c r="J113" s="20" t="n">
        <v>53</v>
      </c>
      <c r="K113" s="21" t="n">
        <f aca="false">G113/H113</f>
        <v>0.25</v>
      </c>
      <c r="L113" s="21" t="n">
        <f aca="false">I113/J113</f>
        <v>0.0377358490566038</v>
      </c>
      <c r="M113" s="20" t="n">
        <v>0.4</v>
      </c>
      <c r="N113" s="22" t="s">
        <v>143</v>
      </c>
    </row>
    <row r="114" customFormat="false" ht="52.2" hidden="false" customHeight="false" outlineLevel="0" collapsed="false">
      <c r="A114" s="19" t="s">
        <v>22</v>
      </c>
      <c r="B114" s="19" t="s">
        <v>44</v>
      </c>
      <c r="C114" s="19" t="s">
        <v>45</v>
      </c>
      <c r="D114" s="19" t="s">
        <v>87</v>
      </c>
      <c r="E114" s="19" t="s">
        <v>88</v>
      </c>
      <c r="F114" s="19" t="s">
        <v>225</v>
      </c>
      <c r="G114" s="20" t="n">
        <v>3</v>
      </c>
      <c r="H114" s="20" t="n">
        <v>8</v>
      </c>
      <c r="I114" s="20" t="n">
        <v>2</v>
      </c>
      <c r="J114" s="20" t="n">
        <v>69</v>
      </c>
      <c r="K114" s="21" t="n">
        <f aca="false">G114/H114</f>
        <v>0.375</v>
      </c>
      <c r="L114" s="21" t="n">
        <f aca="false">I114/J114</f>
        <v>0.0289855072463768</v>
      </c>
      <c r="M114" s="20" t="n">
        <v>0.5</v>
      </c>
      <c r="N114" s="22" t="s">
        <v>145</v>
      </c>
    </row>
    <row r="115" customFormat="false" ht="52.2" hidden="false" customHeight="false" outlineLevel="0" collapsed="false">
      <c r="A115" s="19" t="s">
        <v>22</v>
      </c>
      <c r="B115" s="19" t="s">
        <v>44</v>
      </c>
      <c r="C115" s="19" t="s">
        <v>45</v>
      </c>
      <c r="D115" s="19" t="s">
        <v>91</v>
      </c>
      <c r="E115" s="19" t="s">
        <v>92</v>
      </c>
      <c r="F115" s="19" t="s">
        <v>92</v>
      </c>
      <c r="G115" s="20" t="n">
        <v>0</v>
      </c>
      <c r="H115" s="20" t="n">
        <v>10</v>
      </c>
      <c r="I115" s="20" t="n">
        <v>0</v>
      </c>
      <c r="J115" s="20" t="n">
        <v>55</v>
      </c>
      <c r="K115" s="21" t="n">
        <f aca="false">G115/H115</f>
        <v>0</v>
      </c>
      <c r="L115" s="21" t="n">
        <f aca="false">I115/J115</f>
        <v>0</v>
      </c>
      <c r="M115" s="20" t="n">
        <v>0.5</v>
      </c>
      <c r="N115" s="22" t="s">
        <v>147</v>
      </c>
    </row>
    <row r="116" customFormat="false" ht="52.2" hidden="false" customHeight="false" outlineLevel="0" collapsed="false">
      <c r="A116" s="19" t="s">
        <v>22</v>
      </c>
      <c r="B116" s="19" t="s">
        <v>44</v>
      </c>
      <c r="C116" s="19" t="s">
        <v>45</v>
      </c>
      <c r="D116" s="19" t="s">
        <v>95</v>
      </c>
      <c r="E116" s="19" t="s">
        <v>96</v>
      </c>
      <c r="F116" s="19" t="s">
        <v>226</v>
      </c>
      <c r="G116" s="20" t="n">
        <v>1</v>
      </c>
      <c r="H116" s="20" t="n">
        <v>9</v>
      </c>
      <c r="I116" s="20" t="n">
        <v>1</v>
      </c>
      <c r="J116" s="20" t="n">
        <v>44</v>
      </c>
      <c r="K116" s="21" t="n">
        <f aca="false">G116/H116</f>
        <v>0.111111111111111</v>
      </c>
      <c r="L116" s="21" t="n">
        <f aca="false">I116/J116</f>
        <v>0.0227272727272727</v>
      </c>
      <c r="M116" s="20" t="n">
        <v>0.4</v>
      </c>
      <c r="N116" s="22" t="s">
        <v>149</v>
      </c>
    </row>
    <row r="117" customFormat="false" ht="52.2" hidden="false" customHeight="false" outlineLevel="0" collapsed="false">
      <c r="A117" s="19" t="s">
        <v>22</v>
      </c>
      <c r="B117" s="19" t="s">
        <v>44</v>
      </c>
      <c r="C117" s="19" t="s">
        <v>45</v>
      </c>
      <c r="D117" s="19" t="s">
        <v>99</v>
      </c>
      <c r="E117" s="19" t="s">
        <v>100</v>
      </c>
      <c r="F117" s="19" t="s">
        <v>227</v>
      </c>
      <c r="G117" s="20" t="n">
        <v>1</v>
      </c>
      <c r="H117" s="20" t="n">
        <v>6</v>
      </c>
      <c r="I117" s="20" t="n">
        <v>1</v>
      </c>
      <c r="J117" s="20" t="n">
        <v>35</v>
      </c>
      <c r="K117" s="21" t="n">
        <f aca="false">G117/H117</f>
        <v>0.166666666666667</v>
      </c>
      <c r="L117" s="21" t="n">
        <f aca="false">I117/J117</f>
        <v>0.0285714285714286</v>
      </c>
      <c r="M117" s="20" t="n">
        <v>0.4</v>
      </c>
      <c r="N117" s="22" t="s">
        <v>151</v>
      </c>
    </row>
    <row r="118" customFormat="false" ht="52.2" hidden="false" customHeight="false" outlineLevel="0" collapsed="false">
      <c r="A118" s="19" t="s">
        <v>22</v>
      </c>
      <c r="B118" s="19" t="s">
        <v>44</v>
      </c>
      <c r="C118" s="19" t="s">
        <v>45</v>
      </c>
      <c r="D118" s="19" t="s">
        <v>103</v>
      </c>
      <c r="E118" s="19" t="s">
        <v>131</v>
      </c>
      <c r="F118" s="19" t="s">
        <v>219</v>
      </c>
      <c r="G118" s="20" t="n">
        <v>2</v>
      </c>
      <c r="H118" s="20" t="n">
        <v>10</v>
      </c>
      <c r="I118" s="20" t="n">
        <v>1</v>
      </c>
      <c r="J118" s="20" t="n">
        <v>58</v>
      </c>
      <c r="K118" s="21" t="n">
        <f aca="false">G118/H118</f>
        <v>0.2</v>
      </c>
      <c r="L118" s="21" t="n">
        <f aca="false">I118/J118</f>
        <v>0.0172413793103448</v>
      </c>
      <c r="M118" s="20" t="n">
        <v>0.5</v>
      </c>
      <c r="N118" s="22" t="s">
        <v>153</v>
      </c>
    </row>
    <row r="119" customFormat="false" ht="52.2" hidden="false" customHeight="false" outlineLevel="0" collapsed="false">
      <c r="A119" s="19" t="s">
        <v>22</v>
      </c>
      <c r="B119" s="19" t="s">
        <v>44</v>
      </c>
      <c r="C119" s="19" t="s">
        <v>45</v>
      </c>
      <c r="D119" s="19" t="s">
        <v>107</v>
      </c>
      <c r="E119" s="19" t="s">
        <v>108</v>
      </c>
      <c r="F119" s="19" t="s">
        <v>228</v>
      </c>
      <c r="G119" s="20" t="n">
        <v>4</v>
      </c>
      <c r="H119" s="20" t="n">
        <v>11</v>
      </c>
      <c r="I119" s="20" t="n">
        <v>3</v>
      </c>
      <c r="J119" s="20" t="n">
        <v>60</v>
      </c>
      <c r="K119" s="21" t="n">
        <f aca="false">G119/H119</f>
        <v>0.363636363636364</v>
      </c>
      <c r="L119" s="21" t="n">
        <f aca="false">I119/J119</f>
        <v>0.05</v>
      </c>
      <c r="M119" s="20" t="n">
        <v>0.4</v>
      </c>
      <c r="N119" s="22" t="s">
        <v>155</v>
      </c>
    </row>
    <row r="120" customFormat="false" ht="52.2" hidden="false" customHeight="false" outlineLevel="0" collapsed="false">
      <c r="A120" s="19" t="s">
        <v>22</v>
      </c>
      <c r="B120" s="19" t="s">
        <v>44</v>
      </c>
      <c r="C120" s="19" t="s">
        <v>45</v>
      </c>
      <c r="D120" s="19" t="s">
        <v>111</v>
      </c>
      <c r="E120" s="19" t="s">
        <v>112</v>
      </c>
      <c r="F120" s="19" t="s">
        <v>229</v>
      </c>
      <c r="G120" s="20" t="n">
        <v>4</v>
      </c>
      <c r="H120" s="20" t="n">
        <v>8</v>
      </c>
      <c r="I120" s="20" t="n">
        <v>5</v>
      </c>
      <c r="J120" s="20" t="n">
        <v>53</v>
      </c>
      <c r="K120" s="21" t="n">
        <f aca="false">G120/H120</f>
        <v>0.5</v>
      </c>
      <c r="L120" s="21" t="n">
        <f aca="false">I120/J120</f>
        <v>0.0943396226415094</v>
      </c>
      <c r="M120" s="20" t="n">
        <v>0.5</v>
      </c>
      <c r="N120" s="22" t="s">
        <v>157</v>
      </c>
    </row>
    <row r="121" customFormat="false" ht="52.2" hidden="false" customHeight="false" outlineLevel="0" collapsed="false">
      <c r="A121" s="19" t="s">
        <v>22</v>
      </c>
      <c r="B121" s="19" t="s">
        <v>44</v>
      </c>
      <c r="C121" s="19" t="s">
        <v>45</v>
      </c>
      <c r="D121" s="19" t="s">
        <v>115</v>
      </c>
      <c r="E121" s="19" t="s">
        <v>116</v>
      </c>
      <c r="F121" s="19" t="s">
        <v>230</v>
      </c>
      <c r="G121" s="20" t="n">
        <v>5</v>
      </c>
      <c r="H121" s="20" t="n">
        <v>12</v>
      </c>
      <c r="I121" s="20" t="n">
        <v>5</v>
      </c>
      <c r="J121" s="20" t="n">
        <v>73</v>
      </c>
      <c r="K121" s="21" t="n">
        <f aca="false">G121/H121</f>
        <v>0.416666666666667</v>
      </c>
      <c r="L121" s="21" t="n">
        <f aca="false">I121/J121</f>
        <v>0.0684931506849315</v>
      </c>
      <c r="M121" s="20" t="n">
        <v>0.5</v>
      </c>
      <c r="N121" s="22" t="s">
        <v>159</v>
      </c>
    </row>
    <row r="122" customFormat="false" ht="52.2" hidden="false" customHeight="false" outlineLevel="0" collapsed="false">
      <c r="A122" s="19" t="s">
        <v>24</v>
      </c>
      <c r="B122" s="19" t="s">
        <v>40</v>
      </c>
      <c r="C122" s="19" t="s">
        <v>41</v>
      </c>
      <c r="D122" s="19" t="s">
        <v>79</v>
      </c>
      <c r="E122" s="19" t="s">
        <v>80</v>
      </c>
      <c r="F122" s="19" t="s">
        <v>231</v>
      </c>
      <c r="G122" s="20" t="n">
        <v>1</v>
      </c>
      <c r="H122" s="20" t="n">
        <v>6</v>
      </c>
      <c r="I122" s="20" t="n">
        <v>1</v>
      </c>
      <c r="J122" s="20" t="n">
        <v>42</v>
      </c>
      <c r="K122" s="21" t="n">
        <f aca="false">G122/H122</f>
        <v>0.166666666666667</v>
      </c>
      <c r="L122" s="21" t="n">
        <f aca="false">I122/J122</f>
        <v>0.0238095238095238</v>
      </c>
      <c r="M122" s="20" t="n">
        <v>0.5</v>
      </c>
      <c r="N122" s="22" t="s">
        <v>82</v>
      </c>
    </row>
    <row r="123" customFormat="false" ht="52.2" hidden="false" customHeight="false" outlineLevel="0" collapsed="false">
      <c r="A123" s="19" t="s">
        <v>24</v>
      </c>
      <c r="B123" s="19" t="s">
        <v>40</v>
      </c>
      <c r="C123" s="19" t="s">
        <v>41</v>
      </c>
      <c r="D123" s="19" t="s">
        <v>83</v>
      </c>
      <c r="E123" s="19" t="s">
        <v>84</v>
      </c>
      <c r="F123" s="19" t="s">
        <v>232</v>
      </c>
      <c r="G123" s="20" t="n">
        <v>1</v>
      </c>
      <c r="H123" s="20" t="n">
        <v>8</v>
      </c>
      <c r="I123" s="20" t="n">
        <v>3</v>
      </c>
      <c r="J123" s="20" t="n">
        <v>53</v>
      </c>
      <c r="K123" s="21" t="n">
        <f aca="false">G123/H123</f>
        <v>0.125</v>
      </c>
      <c r="L123" s="21" t="n">
        <f aca="false">I123/J123</f>
        <v>0.0566037735849057</v>
      </c>
      <c r="M123" s="20" t="n">
        <v>0.4</v>
      </c>
      <c r="N123" s="22" t="s">
        <v>86</v>
      </c>
    </row>
    <row r="124" customFormat="false" ht="52.2" hidden="false" customHeight="false" outlineLevel="0" collapsed="false">
      <c r="A124" s="19" t="s">
        <v>24</v>
      </c>
      <c r="B124" s="19" t="s">
        <v>40</v>
      </c>
      <c r="C124" s="19" t="s">
        <v>41</v>
      </c>
      <c r="D124" s="19" t="s">
        <v>87</v>
      </c>
      <c r="E124" s="19" t="s">
        <v>88</v>
      </c>
      <c r="F124" s="19" t="s">
        <v>233</v>
      </c>
      <c r="G124" s="20" t="n">
        <v>4</v>
      </c>
      <c r="H124" s="20" t="n">
        <v>8</v>
      </c>
      <c r="I124" s="20" t="n">
        <v>10</v>
      </c>
      <c r="J124" s="20" t="n">
        <v>69</v>
      </c>
      <c r="K124" s="21" t="n">
        <f aca="false">G124/H124</f>
        <v>0.5</v>
      </c>
      <c r="L124" s="21" t="n">
        <f aca="false">I124/J124</f>
        <v>0.144927536231884</v>
      </c>
      <c r="M124" s="20" t="n">
        <v>0.5</v>
      </c>
      <c r="N124" s="22" t="s">
        <v>90</v>
      </c>
    </row>
    <row r="125" customFormat="false" ht="52.2" hidden="false" customHeight="false" outlineLevel="0" collapsed="false">
      <c r="A125" s="19" t="s">
        <v>24</v>
      </c>
      <c r="B125" s="19" t="s">
        <v>40</v>
      </c>
      <c r="C125" s="19" t="s">
        <v>41</v>
      </c>
      <c r="D125" s="19" t="s">
        <v>91</v>
      </c>
      <c r="E125" s="19" t="s">
        <v>92</v>
      </c>
      <c r="F125" s="19" t="s">
        <v>234</v>
      </c>
      <c r="G125" s="20" t="n">
        <v>5</v>
      </c>
      <c r="H125" s="20" t="n">
        <v>10</v>
      </c>
      <c r="I125" s="20" t="n">
        <v>10</v>
      </c>
      <c r="J125" s="20" t="n">
        <v>55</v>
      </c>
      <c r="K125" s="21" t="n">
        <f aca="false">G125/H125</f>
        <v>0.5</v>
      </c>
      <c r="L125" s="21" t="n">
        <f aca="false">I125/J125</f>
        <v>0.181818181818182</v>
      </c>
      <c r="M125" s="20" t="n">
        <v>0.5</v>
      </c>
      <c r="N125" s="22" t="s">
        <v>94</v>
      </c>
    </row>
    <row r="126" customFormat="false" ht="52.2" hidden="false" customHeight="false" outlineLevel="0" collapsed="false">
      <c r="A126" s="19" t="s">
        <v>24</v>
      </c>
      <c r="B126" s="19" t="s">
        <v>40</v>
      </c>
      <c r="C126" s="19" t="s">
        <v>41</v>
      </c>
      <c r="D126" s="19" t="s">
        <v>95</v>
      </c>
      <c r="E126" s="19" t="s">
        <v>96</v>
      </c>
      <c r="F126" s="19" t="s">
        <v>235</v>
      </c>
      <c r="G126" s="20" t="n">
        <v>3</v>
      </c>
      <c r="H126" s="20" t="n">
        <v>9</v>
      </c>
      <c r="I126" s="20" t="n">
        <v>7</v>
      </c>
      <c r="J126" s="20" t="n">
        <v>44</v>
      </c>
      <c r="K126" s="21" t="n">
        <f aca="false">G126/H126</f>
        <v>0.333333333333333</v>
      </c>
      <c r="L126" s="21" t="n">
        <f aca="false">I126/J126</f>
        <v>0.159090909090909</v>
      </c>
      <c r="M126" s="20" t="n">
        <v>0.4</v>
      </c>
      <c r="N126" s="22" t="s">
        <v>98</v>
      </c>
    </row>
    <row r="127" customFormat="false" ht="52.2" hidden="false" customHeight="false" outlineLevel="0" collapsed="false">
      <c r="A127" s="19" t="s">
        <v>24</v>
      </c>
      <c r="B127" s="19" t="s">
        <v>40</v>
      </c>
      <c r="C127" s="19" t="s">
        <v>41</v>
      </c>
      <c r="D127" s="19" t="s">
        <v>99</v>
      </c>
      <c r="E127" s="19" t="s">
        <v>100</v>
      </c>
      <c r="F127" s="19" t="s">
        <v>236</v>
      </c>
      <c r="G127" s="20" t="n">
        <v>1</v>
      </c>
      <c r="H127" s="20" t="n">
        <v>6</v>
      </c>
      <c r="I127" s="20" t="n">
        <v>2</v>
      </c>
      <c r="J127" s="20" t="n">
        <v>35</v>
      </c>
      <c r="K127" s="21" t="n">
        <f aca="false">G127/H127</f>
        <v>0.166666666666667</v>
      </c>
      <c r="L127" s="21" t="n">
        <f aca="false">I127/J127</f>
        <v>0.0571428571428571</v>
      </c>
      <c r="M127" s="20" t="n">
        <v>0.4</v>
      </c>
      <c r="N127" s="22" t="s">
        <v>102</v>
      </c>
    </row>
    <row r="128" customFormat="false" ht="52.2" hidden="false" customHeight="false" outlineLevel="0" collapsed="false">
      <c r="A128" s="19" t="s">
        <v>24</v>
      </c>
      <c r="B128" s="19" t="s">
        <v>40</v>
      </c>
      <c r="C128" s="19" t="s">
        <v>41</v>
      </c>
      <c r="D128" s="19" t="s">
        <v>103</v>
      </c>
      <c r="E128" s="19" t="s">
        <v>104</v>
      </c>
      <c r="F128" s="19" t="s">
        <v>237</v>
      </c>
      <c r="G128" s="20" t="n">
        <v>4</v>
      </c>
      <c r="H128" s="20" t="n">
        <v>13</v>
      </c>
      <c r="I128" s="20" t="n">
        <v>4</v>
      </c>
      <c r="J128" s="20" t="n">
        <v>67</v>
      </c>
      <c r="K128" s="21" t="n">
        <f aca="false">G128/H128</f>
        <v>0.307692307692308</v>
      </c>
      <c r="L128" s="21" t="n">
        <f aca="false">I128/J128</f>
        <v>0.0597014925373134</v>
      </c>
      <c r="M128" s="20" t="n">
        <v>0.5</v>
      </c>
      <c r="N128" s="22" t="s">
        <v>106</v>
      </c>
    </row>
    <row r="129" customFormat="false" ht="52.2" hidden="false" customHeight="false" outlineLevel="0" collapsed="false">
      <c r="A129" s="19" t="s">
        <v>24</v>
      </c>
      <c r="B129" s="19" t="s">
        <v>40</v>
      </c>
      <c r="C129" s="19" t="s">
        <v>41</v>
      </c>
      <c r="D129" s="19" t="s">
        <v>107</v>
      </c>
      <c r="E129" s="19" t="s">
        <v>108</v>
      </c>
      <c r="F129" s="19" t="s">
        <v>238</v>
      </c>
      <c r="G129" s="20" t="n">
        <v>4</v>
      </c>
      <c r="H129" s="20" t="n">
        <v>11</v>
      </c>
      <c r="I129" s="20" t="n">
        <v>8</v>
      </c>
      <c r="J129" s="20" t="n">
        <v>60</v>
      </c>
      <c r="K129" s="21" t="n">
        <f aca="false">G129/H129</f>
        <v>0.363636363636364</v>
      </c>
      <c r="L129" s="21" t="n">
        <f aca="false">I129/J129</f>
        <v>0.133333333333333</v>
      </c>
      <c r="M129" s="20" t="n">
        <v>1.6</v>
      </c>
      <c r="N129" s="22" t="s">
        <v>110</v>
      </c>
    </row>
    <row r="130" customFormat="false" ht="52.2" hidden="false" customHeight="false" outlineLevel="0" collapsed="false">
      <c r="A130" s="19" t="s">
        <v>24</v>
      </c>
      <c r="B130" s="19" t="s">
        <v>40</v>
      </c>
      <c r="C130" s="19" t="s">
        <v>41</v>
      </c>
      <c r="D130" s="19" t="s">
        <v>111</v>
      </c>
      <c r="E130" s="19" t="s">
        <v>112</v>
      </c>
      <c r="F130" s="19" t="s">
        <v>239</v>
      </c>
      <c r="G130" s="20" t="n">
        <v>2</v>
      </c>
      <c r="H130" s="20" t="n">
        <v>8</v>
      </c>
      <c r="I130" s="20" t="n">
        <v>2</v>
      </c>
      <c r="J130" s="20" t="n">
        <v>53</v>
      </c>
      <c r="K130" s="21" t="n">
        <f aca="false">G130/H130</f>
        <v>0.25</v>
      </c>
      <c r="L130" s="21" t="n">
        <f aca="false">I130/J130</f>
        <v>0.0377358490566038</v>
      </c>
      <c r="M130" s="20" t="n">
        <v>0.5</v>
      </c>
      <c r="N130" s="22" t="s">
        <v>114</v>
      </c>
    </row>
    <row r="131" customFormat="false" ht="52.2" hidden="false" customHeight="false" outlineLevel="0" collapsed="false">
      <c r="A131" s="19" t="s">
        <v>24</v>
      </c>
      <c r="B131" s="19" t="s">
        <v>40</v>
      </c>
      <c r="C131" s="19" t="s">
        <v>41</v>
      </c>
      <c r="D131" s="19" t="s">
        <v>115</v>
      </c>
      <c r="E131" s="19" t="s">
        <v>116</v>
      </c>
      <c r="F131" s="19" t="s">
        <v>240</v>
      </c>
      <c r="G131" s="20" t="n">
        <v>1</v>
      </c>
      <c r="H131" s="20" t="n">
        <v>12</v>
      </c>
      <c r="I131" s="20" t="n">
        <v>1</v>
      </c>
      <c r="J131" s="20" t="n">
        <v>73</v>
      </c>
      <c r="K131" s="21" t="n">
        <f aca="false">G131/H131</f>
        <v>0.0833333333333333</v>
      </c>
      <c r="L131" s="21" t="n">
        <f aca="false">I131/J131</f>
        <v>0.0136986301369863</v>
      </c>
      <c r="M131" s="20" t="n">
        <v>0.5</v>
      </c>
      <c r="N131" s="22" t="s">
        <v>118</v>
      </c>
    </row>
    <row r="132" customFormat="false" ht="64.9" hidden="false" customHeight="false" outlineLevel="0" collapsed="false">
      <c r="A132" s="19" t="s">
        <v>24</v>
      </c>
      <c r="B132" s="19" t="s">
        <v>42</v>
      </c>
      <c r="C132" s="19" t="s">
        <v>43</v>
      </c>
      <c r="D132" s="19" t="s">
        <v>79</v>
      </c>
      <c r="E132" s="19" t="s">
        <v>80</v>
      </c>
      <c r="F132" s="19" t="s">
        <v>241</v>
      </c>
      <c r="G132" s="20" t="n">
        <v>2</v>
      </c>
      <c r="H132" s="20" t="n">
        <v>6</v>
      </c>
      <c r="I132" s="20" t="n">
        <v>2</v>
      </c>
      <c r="J132" s="20" t="n">
        <v>42</v>
      </c>
      <c r="K132" s="21" t="n">
        <f aca="false">G132/H132</f>
        <v>0.333333333333333</v>
      </c>
      <c r="L132" s="21" t="n">
        <f aca="false">I132/J132</f>
        <v>0.0476190476190476</v>
      </c>
      <c r="M132" s="20" t="n">
        <v>0.4</v>
      </c>
      <c r="N132" s="22" t="s">
        <v>120</v>
      </c>
    </row>
    <row r="133" customFormat="false" ht="64.9" hidden="false" customHeight="false" outlineLevel="0" collapsed="false">
      <c r="A133" s="19" t="s">
        <v>24</v>
      </c>
      <c r="B133" s="19" t="s">
        <v>42</v>
      </c>
      <c r="C133" s="19" t="s">
        <v>43</v>
      </c>
      <c r="D133" s="19" t="s">
        <v>83</v>
      </c>
      <c r="E133" s="19" t="s">
        <v>84</v>
      </c>
      <c r="F133" s="19" t="s">
        <v>242</v>
      </c>
      <c r="G133" s="20" t="n">
        <v>2</v>
      </c>
      <c r="H133" s="20" t="n">
        <v>8</v>
      </c>
      <c r="I133" s="20" t="n">
        <v>3</v>
      </c>
      <c r="J133" s="20" t="n">
        <v>53</v>
      </c>
      <c r="K133" s="21" t="n">
        <f aca="false">G133/H133</f>
        <v>0.25</v>
      </c>
      <c r="L133" s="21" t="n">
        <f aca="false">I133/J133</f>
        <v>0.0566037735849057</v>
      </c>
      <c r="M133" s="20" t="n">
        <v>0.4</v>
      </c>
      <c r="N133" s="22" t="s">
        <v>122</v>
      </c>
    </row>
    <row r="134" customFormat="false" ht="64.9" hidden="false" customHeight="false" outlineLevel="0" collapsed="false">
      <c r="A134" s="19" t="s">
        <v>24</v>
      </c>
      <c r="B134" s="19" t="s">
        <v>42</v>
      </c>
      <c r="C134" s="19" t="s">
        <v>43</v>
      </c>
      <c r="D134" s="19" t="s">
        <v>87</v>
      </c>
      <c r="E134" s="19" t="s">
        <v>88</v>
      </c>
      <c r="F134" s="19" t="s">
        <v>243</v>
      </c>
      <c r="G134" s="20" t="n">
        <v>3</v>
      </c>
      <c r="H134" s="20" t="n">
        <v>8</v>
      </c>
      <c r="I134" s="20" t="n">
        <v>4</v>
      </c>
      <c r="J134" s="20" t="n">
        <v>69</v>
      </c>
      <c r="K134" s="21" t="n">
        <f aca="false">G134/H134</f>
        <v>0.375</v>
      </c>
      <c r="L134" s="21" t="n">
        <f aca="false">I134/J134</f>
        <v>0.0579710144927536</v>
      </c>
      <c r="M134" s="20" t="n">
        <v>0.5</v>
      </c>
      <c r="N134" s="22" t="s">
        <v>124</v>
      </c>
    </row>
    <row r="135" customFormat="false" ht="64.9" hidden="false" customHeight="false" outlineLevel="0" collapsed="false">
      <c r="A135" s="19" t="s">
        <v>24</v>
      </c>
      <c r="B135" s="19" t="s">
        <v>42</v>
      </c>
      <c r="C135" s="19" t="s">
        <v>43</v>
      </c>
      <c r="D135" s="19" t="s">
        <v>91</v>
      </c>
      <c r="E135" s="19" t="s">
        <v>92</v>
      </c>
      <c r="F135" s="19" t="s">
        <v>244</v>
      </c>
      <c r="G135" s="20" t="n">
        <v>4</v>
      </c>
      <c r="H135" s="20" t="n">
        <v>10</v>
      </c>
      <c r="I135" s="20" t="n">
        <v>7</v>
      </c>
      <c r="J135" s="20" t="n">
        <v>55</v>
      </c>
      <c r="K135" s="21" t="n">
        <f aca="false">G135/H135</f>
        <v>0.4</v>
      </c>
      <c r="L135" s="21" t="n">
        <f aca="false">I135/J135</f>
        <v>0.127272727272727</v>
      </c>
      <c r="M135" s="20" t="n">
        <v>0.5</v>
      </c>
      <c r="N135" s="22" t="s">
        <v>126</v>
      </c>
    </row>
    <row r="136" customFormat="false" ht="64.9" hidden="false" customHeight="false" outlineLevel="0" collapsed="false">
      <c r="A136" s="19" t="s">
        <v>24</v>
      </c>
      <c r="B136" s="19" t="s">
        <v>42</v>
      </c>
      <c r="C136" s="19" t="s">
        <v>43</v>
      </c>
      <c r="D136" s="19" t="s">
        <v>95</v>
      </c>
      <c r="E136" s="19" t="s">
        <v>96</v>
      </c>
      <c r="F136" s="19" t="s">
        <v>245</v>
      </c>
      <c r="G136" s="20" t="n">
        <v>2</v>
      </c>
      <c r="H136" s="20" t="n">
        <v>9</v>
      </c>
      <c r="I136" s="20" t="n">
        <v>3</v>
      </c>
      <c r="J136" s="20" t="n">
        <v>44</v>
      </c>
      <c r="K136" s="21" t="n">
        <f aca="false">G136/H136</f>
        <v>0.222222222222222</v>
      </c>
      <c r="L136" s="21" t="n">
        <f aca="false">I136/J136</f>
        <v>0.0681818181818182</v>
      </c>
      <c r="M136" s="20" t="n">
        <v>0.4</v>
      </c>
      <c r="N136" s="22" t="s">
        <v>128</v>
      </c>
    </row>
    <row r="137" customFormat="false" ht="64.9" hidden="false" customHeight="false" outlineLevel="0" collapsed="false">
      <c r="A137" s="19" t="s">
        <v>24</v>
      </c>
      <c r="B137" s="19" t="s">
        <v>42</v>
      </c>
      <c r="C137" s="19" t="s">
        <v>43</v>
      </c>
      <c r="D137" s="19" t="s">
        <v>99</v>
      </c>
      <c r="E137" s="19" t="s">
        <v>100</v>
      </c>
      <c r="F137" s="19" t="s">
        <v>210</v>
      </c>
      <c r="G137" s="20" t="n">
        <v>1</v>
      </c>
      <c r="H137" s="20" t="n">
        <v>6</v>
      </c>
      <c r="I137" s="20" t="n">
        <v>1</v>
      </c>
      <c r="J137" s="20" t="n">
        <v>35</v>
      </c>
      <c r="K137" s="21" t="n">
        <f aca="false">G137/H137</f>
        <v>0.166666666666667</v>
      </c>
      <c r="L137" s="21" t="n">
        <f aca="false">I137/J137</f>
        <v>0.0285714285714286</v>
      </c>
      <c r="M137" s="20" t="n">
        <v>0.4</v>
      </c>
      <c r="N137" s="22" t="s">
        <v>130</v>
      </c>
    </row>
    <row r="138" customFormat="false" ht="64.9" hidden="false" customHeight="false" outlineLevel="0" collapsed="false">
      <c r="A138" s="19" t="s">
        <v>24</v>
      </c>
      <c r="B138" s="19" t="s">
        <v>42</v>
      </c>
      <c r="C138" s="19" t="s">
        <v>43</v>
      </c>
      <c r="D138" s="19" t="s">
        <v>103</v>
      </c>
      <c r="E138" s="19" t="s">
        <v>131</v>
      </c>
      <c r="F138" s="19" t="s">
        <v>246</v>
      </c>
      <c r="G138" s="20" t="n">
        <v>0</v>
      </c>
      <c r="H138" s="20" t="n">
        <v>10</v>
      </c>
      <c r="I138" s="20" t="n">
        <v>0</v>
      </c>
      <c r="J138" s="20" t="n">
        <v>58</v>
      </c>
      <c r="K138" s="21" t="n">
        <f aca="false">G138/H138</f>
        <v>0</v>
      </c>
      <c r="L138" s="21" t="n">
        <f aca="false">I138/J138</f>
        <v>0</v>
      </c>
      <c r="M138" s="20" t="n">
        <v>0.5</v>
      </c>
      <c r="N138" s="22" t="s">
        <v>133</v>
      </c>
    </row>
    <row r="139" customFormat="false" ht="64.9" hidden="false" customHeight="false" outlineLevel="0" collapsed="false">
      <c r="A139" s="19" t="s">
        <v>24</v>
      </c>
      <c r="B139" s="19" t="s">
        <v>42</v>
      </c>
      <c r="C139" s="19" t="s">
        <v>43</v>
      </c>
      <c r="D139" s="19" t="s">
        <v>107</v>
      </c>
      <c r="E139" s="19" t="s">
        <v>108</v>
      </c>
      <c r="F139" s="19" t="s">
        <v>108</v>
      </c>
      <c r="G139" s="20" t="n">
        <v>0</v>
      </c>
      <c r="H139" s="20" t="n">
        <v>11</v>
      </c>
      <c r="I139" s="20" t="n">
        <v>0</v>
      </c>
      <c r="J139" s="20" t="n">
        <v>60</v>
      </c>
      <c r="K139" s="21" t="n">
        <f aca="false">G139/H139</f>
        <v>0</v>
      </c>
      <c r="L139" s="21" t="n">
        <f aca="false">I139/J139</f>
        <v>0</v>
      </c>
      <c r="M139" s="20" t="n">
        <v>0.5</v>
      </c>
      <c r="N139" s="22" t="s">
        <v>135</v>
      </c>
    </row>
    <row r="140" customFormat="false" ht="64.9" hidden="false" customHeight="false" outlineLevel="0" collapsed="false">
      <c r="A140" s="19" t="s">
        <v>24</v>
      </c>
      <c r="B140" s="19" t="s">
        <v>42</v>
      </c>
      <c r="C140" s="19" t="s">
        <v>43</v>
      </c>
      <c r="D140" s="19" t="s">
        <v>111</v>
      </c>
      <c r="E140" s="19" t="s">
        <v>112</v>
      </c>
      <c r="F140" s="19" t="s">
        <v>247</v>
      </c>
      <c r="G140" s="20" t="n">
        <v>3</v>
      </c>
      <c r="H140" s="20" t="n">
        <v>8</v>
      </c>
      <c r="I140" s="20" t="n">
        <v>3</v>
      </c>
      <c r="J140" s="20" t="n">
        <v>53</v>
      </c>
      <c r="K140" s="21" t="n">
        <f aca="false">G140/H140</f>
        <v>0.375</v>
      </c>
      <c r="L140" s="21" t="n">
        <f aca="false">I140/J140</f>
        <v>0.0566037735849057</v>
      </c>
      <c r="M140" s="20" t="n">
        <v>0.4</v>
      </c>
      <c r="N140" s="22" t="s">
        <v>137</v>
      </c>
    </row>
    <row r="141" customFormat="false" ht="64.9" hidden="false" customHeight="false" outlineLevel="0" collapsed="false">
      <c r="A141" s="19" t="s">
        <v>24</v>
      </c>
      <c r="B141" s="19" t="s">
        <v>42</v>
      </c>
      <c r="C141" s="19" t="s">
        <v>43</v>
      </c>
      <c r="D141" s="19" t="s">
        <v>115</v>
      </c>
      <c r="E141" s="19" t="s">
        <v>116</v>
      </c>
      <c r="F141" s="19" t="s">
        <v>248</v>
      </c>
      <c r="G141" s="20" t="n">
        <v>3</v>
      </c>
      <c r="H141" s="20" t="n">
        <v>12</v>
      </c>
      <c r="I141" s="20" t="n">
        <v>4</v>
      </c>
      <c r="J141" s="20" t="n">
        <v>73</v>
      </c>
      <c r="K141" s="21" t="n">
        <f aca="false">G141/H141</f>
        <v>0.25</v>
      </c>
      <c r="L141" s="21" t="n">
        <f aca="false">I141/J141</f>
        <v>0.0547945205479452</v>
      </c>
      <c r="M141" s="20" t="n">
        <v>0.5</v>
      </c>
      <c r="N141" s="22" t="s">
        <v>139</v>
      </c>
    </row>
    <row r="142" customFormat="false" ht="52.2" hidden="false" customHeight="false" outlineLevel="0" collapsed="false">
      <c r="A142" s="19" t="s">
        <v>24</v>
      </c>
      <c r="B142" s="19" t="s">
        <v>44</v>
      </c>
      <c r="C142" s="19" t="s">
        <v>45</v>
      </c>
      <c r="D142" s="19" t="s">
        <v>79</v>
      </c>
      <c r="E142" s="19" t="s">
        <v>80</v>
      </c>
      <c r="F142" s="19" t="s">
        <v>223</v>
      </c>
      <c r="G142" s="20" t="n">
        <v>2</v>
      </c>
      <c r="H142" s="20" t="n">
        <v>6</v>
      </c>
      <c r="I142" s="20" t="n">
        <v>2</v>
      </c>
      <c r="J142" s="20" t="n">
        <v>42</v>
      </c>
      <c r="K142" s="21" t="n">
        <f aca="false">G142/H142</f>
        <v>0.333333333333333</v>
      </c>
      <c r="L142" s="21" t="n">
        <f aca="false">I142/J142</f>
        <v>0.0476190476190476</v>
      </c>
      <c r="M142" s="20" t="n">
        <v>0.4</v>
      </c>
      <c r="N142" s="22" t="s">
        <v>141</v>
      </c>
    </row>
    <row r="143" customFormat="false" ht="52.2" hidden="false" customHeight="false" outlineLevel="0" collapsed="false">
      <c r="A143" s="19" t="s">
        <v>24</v>
      </c>
      <c r="B143" s="19" t="s">
        <v>44</v>
      </c>
      <c r="C143" s="19" t="s">
        <v>45</v>
      </c>
      <c r="D143" s="19" t="s">
        <v>83</v>
      </c>
      <c r="E143" s="19" t="s">
        <v>84</v>
      </c>
      <c r="F143" s="19" t="s">
        <v>249</v>
      </c>
      <c r="G143" s="20" t="n">
        <v>1</v>
      </c>
      <c r="H143" s="20" t="n">
        <v>8</v>
      </c>
      <c r="I143" s="20" t="n">
        <v>1</v>
      </c>
      <c r="J143" s="20" t="n">
        <v>53</v>
      </c>
      <c r="K143" s="21" t="n">
        <f aca="false">G143/H143</f>
        <v>0.125</v>
      </c>
      <c r="L143" s="21" t="n">
        <f aca="false">I143/J143</f>
        <v>0.0188679245283019</v>
      </c>
      <c r="M143" s="20" t="n">
        <v>0.4</v>
      </c>
      <c r="N143" s="22" t="s">
        <v>143</v>
      </c>
    </row>
    <row r="144" customFormat="false" ht="52.2" hidden="false" customHeight="false" outlineLevel="0" collapsed="false">
      <c r="A144" s="19" t="s">
        <v>24</v>
      </c>
      <c r="B144" s="19" t="s">
        <v>44</v>
      </c>
      <c r="C144" s="19" t="s">
        <v>45</v>
      </c>
      <c r="D144" s="19" t="s">
        <v>87</v>
      </c>
      <c r="E144" s="19" t="s">
        <v>88</v>
      </c>
      <c r="F144" s="19" t="s">
        <v>250</v>
      </c>
      <c r="G144" s="20" t="n">
        <v>1</v>
      </c>
      <c r="H144" s="20" t="n">
        <v>8</v>
      </c>
      <c r="I144" s="20" t="n">
        <v>1</v>
      </c>
      <c r="J144" s="20" t="n">
        <v>69</v>
      </c>
      <c r="K144" s="21" t="n">
        <f aca="false">G144/H144</f>
        <v>0.125</v>
      </c>
      <c r="L144" s="21" t="n">
        <f aca="false">I144/J144</f>
        <v>0.0144927536231884</v>
      </c>
      <c r="M144" s="20" t="n">
        <v>0.5</v>
      </c>
      <c r="N144" s="22" t="s">
        <v>145</v>
      </c>
    </row>
    <row r="145" customFormat="false" ht="52.2" hidden="false" customHeight="false" outlineLevel="0" collapsed="false">
      <c r="A145" s="19" t="s">
        <v>24</v>
      </c>
      <c r="B145" s="19" t="s">
        <v>44</v>
      </c>
      <c r="C145" s="19" t="s">
        <v>45</v>
      </c>
      <c r="D145" s="19" t="s">
        <v>91</v>
      </c>
      <c r="E145" s="19" t="s">
        <v>92</v>
      </c>
      <c r="F145" s="19" t="s">
        <v>251</v>
      </c>
      <c r="G145" s="20" t="n">
        <v>4</v>
      </c>
      <c r="H145" s="20" t="n">
        <v>10</v>
      </c>
      <c r="I145" s="20" t="n">
        <v>8</v>
      </c>
      <c r="J145" s="20" t="n">
        <v>55</v>
      </c>
      <c r="K145" s="21" t="n">
        <f aca="false">G145/H145</f>
        <v>0.4</v>
      </c>
      <c r="L145" s="21" t="n">
        <f aca="false">I145/J145</f>
        <v>0.145454545454545</v>
      </c>
      <c r="M145" s="20" t="n">
        <v>0.5</v>
      </c>
      <c r="N145" s="22" t="s">
        <v>147</v>
      </c>
    </row>
    <row r="146" customFormat="false" ht="52.2" hidden="false" customHeight="false" outlineLevel="0" collapsed="false">
      <c r="A146" s="19" t="s">
        <v>24</v>
      </c>
      <c r="B146" s="19" t="s">
        <v>44</v>
      </c>
      <c r="C146" s="19" t="s">
        <v>45</v>
      </c>
      <c r="D146" s="19" t="s">
        <v>95</v>
      </c>
      <c r="E146" s="19" t="s">
        <v>96</v>
      </c>
      <c r="F146" s="19" t="s">
        <v>245</v>
      </c>
      <c r="G146" s="20" t="n">
        <v>2</v>
      </c>
      <c r="H146" s="20" t="n">
        <v>9</v>
      </c>
      <c r="I146" s="20" t="n">
        <v>3</v>
      </c>
      <c r="J146" s="20" t="n">
        <v>44</v>
      </c>
      <c r="K146" s="21" t="n">
        <f aca="false">G146/H146</f>
        <v>0.222222222222222</v>
      </c>
      <c r="L146" s="21" t="n">
        <f aca="false">I146/J146</f>
        <v>0.0681818181818182</v>
      </c>
      <c r="M146" s="20" t="n">
        <v>0.4</v>
      </c>
      <c r="N146" s="22" t="s">
        <v>149</v>
      </c>
    </row>
    <row r="147" customFormat="false" ht="52.2" hidden="false" customHeight="false" outlineLevel="0" collapsed="false">
      <c r="A147" s="19" t="s">
        <v>24</v>
      </c>
      <c r="B147" s="19" t="s">
        <v>44</v>
      </c>
      <c r="C147" s="19" t="s">
        <v>45</v>
      </c>
      <c r="D147" s="19" t="s">
        <v>99</v>
      </c>
      <c r="E147" s="19" t="s">
        <v>100</v>
      </c>
      <c r="F147" s="19" t="s">
        <v>210</v>
      </c>
      <c r="G147" s="20" t="n">
        <v>1</v>
      </c>
      <c r="H147" s="20" t="n">
        <v>6</v>
      </c>
      <c r="I147" s="20" t="n">
        <v>1</v>
      </c>
      <c r="J147" s="20" t="n">
        <v>35</v>
      </c>
      <c r="K147" s="21" t="n">
        <f aca="false">G147/H147</f>
        <v>0.166666666666667</v>
      </c>
      <c r="L147" s="21" t="n">
        <f aca="false">I147/J147</f>
        <v>0.0285714285714286</v>
      </c>
      <c r="M147" s="20" t="n">
        <v>0.4</v>
      </c>
      <c r="N147" s="22" t="s">
        <v>151</v>
      </c>
    </row>
    <row r="148" customFormat="false" ht="52.2" hidden="false" customHeight="false" outlineLevel="0" collapsed="false">
      <c r="A148" s="19" t="s">
        <v>24</v>
      </c>
      <c r="B148" s="19" t="s">
        <v>44</v>
      </c>
      <c r="C148" s="19" t="s">
        <v>45</v>
      </c>
      <c r="D148" s="19" t="s">
        <v>103</v>
      </c>
      <c r="E148" s="19" t="s">
        <v>131</v>
      </c>
      <c r="F148" s="19" t="s">
        <v>246</v>
      </c>
      <c r="G148" s="20" t="n">
        <v>0</v>
      </c>
      <c r="H148" s="20" t="n">
        <v>10</v>
      </c>
      <c r="I148" s="20" t="n">
        <v>0</v>
      </c>
      <c r="J148" s="20" t="n">
        <v>58</v>
      </c>
      <c r="K148" s="21" t="n">
        <f aca="false">G148/H148</f>
        <v>0</v>
      </c>
      <c r="L148" s="21" t="n">
        <f aca="false">I148/J148</f>
        <v>0</v>
      </c>
      <c r="M148" s="20" t="n">
        <v>0.5</v>
      </c>
      <c r="N148" s="22" t="s">
        <v>153</v>
      </c>
    </row>
    <row r="149" customFormat="false" ht="52.2" hidden="false" customHeight="false" outlineLevel="0" collapsed="false">
      <c r="A149" s="19" t="s">
        <v>24</v>
      </c>
      <c r="B149" s="19" t="s">
        <v>44</v>
      </c>
      <c r="C149" s="19" t="s">
        <v>45</v>
      </c>
      <c r="D149" s="19" t="s">
        <v>107</v>
      </c>
      <c r="E149" s="19" t="s">
        <v>108</v>
      </c>
      <c r="F149" s="19" t="s">
        <v>108</v>
      </c>
      <c r="G149" s="20" t="n">
        <v>0</v>
      </c>
      <c r="H149" s="20" t="n">
        <v>11</v>
      </c>
      <c r="I149" s="20" t="n">
        <v>0</v>
      </c>
      <c r="J149" s="20" t="n">
        <v>60</v>
      </c>
      <c r="K149" s="21" t="n">
        <f aca="false">G149/H149</f>
        <v>0</v>
      </c>
      <c r="L149" s="21" t="n">
        <f aca="false">I149/J149</f>
        <v>0</v>
      </c>
      <c r="M149" s="20" t="n">
        <v>0.5</v>
      </c>
      <c r="N149" s="22" t="s">
        <v>155</v>
      </c>
    </row>
    <row r="150" customFormat="false" ht="52.2" hidden="false" customHeight="false" outlineLevel="0" collapsed="false">
      <c r="A150" s="19" t="s">
        <v>24</v>
      </c>
      <c r="B150" s="19" t="s">
        <v>44</v>
      </c>
      <c r="C150" s="19" t="s">
        <v>45</v>
      </c>
      <c r="D150" s="19" t="s">
        <v>111</v>
      </c>
      <c r="E150" s="19" t="s">
        <v>112</v>
      </c>
      <c r="F150" s="19" t="s">
        <v>252</v>
      </c>
      <c r="G150" s="20" t="n">
        <v>3</v>
      </c>
      <c r="H150" s="20" t="n">
        <v>8</v>
      </c>
      <c r="I150" s="20" t="n">
        <v>7</v>
      </c>
      <c r="J150" s="20" t="n">
        <v>53</v>
      </c>
      <c r="K150" s="21" t="n">
        <f aca="false">G150/H150</f>
        <v>0.375</v>
      </c>
      <c r="L150" s="21" t="n">
        <f aca="false">I150/J150</f>
        <v>0.132075471698113</v>
      </c>
      <c r="M150" s="20" t="n">
        <v>0.4</v>
      </c>
      <c r="N150" s="22" t="s">
        <v>157</v>
      </c>
    </row>
    <row r="151" customFormat="false" ht="52.2" hidden="false" customHeight="false" outlineLevel="0" collapsed="false">
      <c r="A151" s="19" t="s">
        <v>24</v>
      </c>
      <c r="B151" s="19" t="s">
        <v>44</v>
      </c>
      <c r="C151" s="19" t="s">
        <v>45</v>
      </c>
      <c r="D151" s="19" t="s">
        <v>115</v>
      </c>
      <c r="E151" s="19" t="s">
        <v>116</v>
      </c>
      <c r="F151" s="19" t="s">
        <v>253</v>
      </c>
      <c r="G151" s="20" t="n">
        <v>2</v>
      </c>
      <c r="H151" s="20" t="n">
        <v>12</v>
      </c>
      <c r="I151" s="20" t="n">
        <v>3</v>
      </c>
      <c r="J151" s="20" t="n">
        <v>73</v>
      </c>
      <c r="K151" s="21" t="n">
        <f aca="false">G151/H151</f>
        <v>0.166666666666667</v>
      </c>
      <c r="L151" s="21" t="n">
        <f aca="false">I151/J151</f>
        <v>0.0410958904109589</v>
      </c>
      <c r="M151" s="20" t="n">
        <v>0.5</v>
      </c>
      <c r="N151" s="22" t="s">
        <v>159</v>
      </c>
    </row>
    <row r="152" customFormat="false" ht="52.2" hidden="false" customHeight="false" outlineLevel="0" collapsed="false">
      <c r="A152" s="19" t="s">
        <v>26</v>
      </c>
      <c r="B152" s="19" t="s">
        <v>40</v>
      </c>
      <c r="C152" s="19" t="s">
        <v>41</v>
      </c>
      <c r="D152" s="19" t="s">
        <v>79</v>
      </c>
      <c r="E152" s="19" t="s">
        <v>80</v>
      </c>
      <c r="F152" s="19" t="s">
        <v>215</v>
      </c>
      <c r="G152" s="20" t="n">
        <v>1</v>
      </c>
      <c r="H152" s="20" t="n">
        <v>6</v>
      </c>
      <c r="I152" s="20" t="n">
        <v>1</v>
      </c>
      <c r="J152" s="20" t="n">
        <v>42</v>
      </c>
      <c r="K152" s="21" t="n">
        <f aca="false">G152/H152</f>
        <v>0.166666666666667</v>
      </c>
      <c r="L152" s="21" t="n">
        <f aca="false">I152/J152</f>
        <v>0.0238095238095238</v>
      </c>
      <c r="M152" s="20" t="n">
        <v>0.5</v>
      </c>
      <c r="N152" s="22" t="s">
        <v>82</v>
      </c>
    </row>
    <row r="153" customFormat="false" ht="52.2" hidden="false" customHeight="false" outlineLevel="0" collapsed="false">
      <c r="A153" s="19" t="s">
        <v>26</v>
      </c>
      <c r="B153" s="19" t="s">
        <v>40</v>
      </c>
      <c r="C153" s="19" t="s">
        <v>41</v>
      </c>
      <c r="D153" s="19" t="s">
        <v>83</v>
      </c>
      <c r="E153" s="19" t="s">
        <v>84</v>
      </c>
      <c r="F153" s="19" t="s">
        <v>254</v>
      </c>
      <c r="G153" s="20" t="n">
        <v>1</v>
      </c>
      <c r="H153" s="20" t="n">
        <v>8</v>
      </c>
      <c r="I153" s="20" t="n">
        <v>3</v>
      </c>
      <c r="J153" s="20" t="n">
        <v>53</v>
      </c>
      <c r="K153" s="21" t="n">
        <f aca="false">G153/H153</f>
        <v>0.125</v>
      </c>
      <c r="L153" s="21" t="n">
        <f aca="false">I153/J153</f>
        <v>0.0566037735849057</v>
      </c>
      <c r="M153" s="20" t="n">
        <v>0.4</v>
      </c>
      <c r="N153" s="22" t="s">
        <v>86</v>
      </c>
    </row>
    <row r="154" customFormat="false" ht="52.2" hidden="false" customHeight="false" outlineLevel="0" collapsed="false">
      <c r="A154" s="19" t="s">
        <v>26</v>
      </c>
      <c r="B154" s="19" t="s">
        <v>40</v>
      </c>
      <c r="C154" s="19" t="s">
        <v>41</v>
      </c>
      <c r="D154" s="19" t="s">
        <v>87</v>
      </c>
      <c r="E154" s="19" t="s">
        <v>88</v>
      </c>
      <c r="F154" s="19" t="s">
        <v>255</v>
      </c>
      <c r="G154" s="20" t="n">
        <v>2</v>
      </c>
      <c r="H154" s="20" t="n">
        <v>8</v>
      </c>
      <c r="I154" s="20" t="n">
        <v>3</v>
      </c>
      <c r="J154" s="20" t="n">
        <v>69</v>
      </c>
      <c r="K154" s="21" t="n">
        <f aca="false">G154/H154</f>
        <v>0.25</v>
      </c>
      <c r="L154" s="21" t="n">
        <f aca="false">I154/J154</f>
        <v>0.0434782608695652</v>
      </c>
      <c r="M154" s="20" t="n">
        <v>0.5</v>
      </c>
      <c r="N154" s="22" t="s">
        <v>90</v>
      </c>
    </row>
    <row r="155" customFormat="false" ht="52.2" hidden="false" customHeight="false" outlineLevel="0" collapsed="false">
      <c r="A155" s="19" t="s">
        <v>26</v>
      </c>
      <c r="B155" s="19" t="s">
        <v>40</v>
      </c>
      <c r="C155" s="19" t="s">
        <v>41</v>
      </c>
      <c r="D155" s="19" t="s">
        <v>91</v>
      </c>
      <c r="E155" s="19" t="s">
        <v>92</v>
      </c>
      <c r="F155" s="19" t="s">
        <v>190</v>
      </c>
      <c r="G155" s="20" t="n">
        <v>0</v>
      </c>
      <c r="H155" s="20" t="n">
        <v>10</v>
      </c>
      <c r="I155" s="20" t="n">
        <v>0</v>
      </c>
      <c r="J155" s="20" t="n">
        <v>55</v>
      </c>
      <c r="K155" s="21" t="n">
        <f aca="false">G155/H155</f>
        <v>0</v>
      </c>
      <c r="L155" s="21" t="n">
        <f aca="false">I155/J155</f>
        <v>0</v>
      </c>
      <c r="M155" s="20" t="n">
        <v>0.5</v>
      </c>
      <c r="N155" s="22" t="s">
        <v>94</v>
      </c>
    </row>
    <row r="156" customFormat="false" ht="52.2" hidden="false" customHeight="false" outlineLevel="0" collapsed="false">
      <c r="A156" s="19" t="s">
        <v>26</v>
      </c>
      <c r="B156" s="19" t="s">
        <v>40</v>
      </c>
      <c r="C156" s="19" t="s">
        <v>41</v>
      </c>
      <c r="D156" s="19" t="s">
        <v>95</v>
      </c>
      <c r="E156" s="19" t="s">
        <v>96</v>
      </c>
      <c r="F156" s="19" t="s">
        <v>256</v>
      </c>
      <c r="G156" s="20" t="n">
        <v>2</v>
      </c>
      <c r="H156" s="20" t="n">
        <v>9</v>
      </c>
      <c r="I156" s="20" t="n">
        <v>4</v>
      </c>
      <c r="J156" s="20" t="n">
        <v>44</v>
      </c>
      <c r="K156" s="21" t="n">
        <f aca="false">G156/H156</f>
        <v>0.222222222222222</v>
      </c>
      <c r="L156" s="21" t="n">
        <f aca="false">I156/J156</f>
        <v>0.0909090909090909</v>
      </c>
      <c r="M156" s="20" t="n">
        <v>0.4</v>
      </c>
      <c r="N156" s="22" t="s">
        <v>98</v>
      </c>
    </row>
    <row r="157" customFormat="false" ht="52.2" hidden="false" customHeight="false" outlineLevel="0" collapsed="false">
      <c r="A157" s="19" t="s">
        <v>26</v>
      </c>
      <c r="B157" s="19" t="s">
        <v>40</v>
      </c>
      <c r="C157" s="19" t="s">
        <v>41</v>
      </c>
      <c r="D157" s="19" t="s">
        <v>99</v>
      </c>
      <c r="E157" s="19" t="s">
        <v>100</v>
      </c>
      <c r="F157" s="19" t="s">
        <v>182</v>
      </c>
      <c r="G157" s="20" t="n">
        <v>1</v>
      </c>
      <c r="H157" s="20" t="n">
        <v>6</v>
      </c>
      <c r="I157" s="20" t="n">
        <v>1</v>
      </c>
      <c r="J157" s="20" t="n">
        <v>35</v>
      </c>
      <c r="K157" s="21" t="n">
        <f aca="false">G157/H157</f>
        <v>0.166666666666667</v>
      </c>
      <c r="L157" s="21" t="n">
        <f aca="false">I157/J157</f>
        <v>0.0285714285714286</v>
      </c>
      <c r="M157" s="20" t="n">
        <v>0.4</v>
      </c>
      <c r="N157" s="22" t="s">
        <v>102</v>
      </c>
    </row>
    <row r="158" customFormat="false" ht="52.2" hidden="false" customHeight="false" outlineLevel="0" collapsed="false">
      <c r="A158" s="19" t="s">
        <v>26</v>
      </c>
      <c r="B158" s="19" t="s">
        <v>40</v>
      </c>
      <c r="C158" s="19" t="s">
        <v>41</v>
      </c>
      <c r="D158" s="19" t="s">
        <v>103</v>
      </c>
      <c r="E158" s="19" t="s">
        <v>104</v>
      </c>
      <c r="F158" s="19" t="s">
        <v>257</v>
      </c>
      <c r="G158" s="20" t="n">
        <v>0</v>
      </c>
      <c r="H158" s="20" t="n">
        <v>13</v>
      </c>
      <c r="I158" s="20" t="n">
        <v>0</v>
      </c>
      <c r="J158" s="20" t="n">
        <v>67</v>
      </c>
      <c r="K158" s="21" t="n">
        <f aca="false">G158/H158</f>
        <v>0</v>
      </c>
      <c r="L158" s="21" t="n">
        <f aca="false">I158/J158</f>
        <v>0</v>
      </c>
      <c r="M158" s="20" t="n">
        <v>0.5</v>
      </c>
      <c r="N158" s="22" t="s">
        <v>106</v>
      </c>
    </row>
    <row r="159" customFormat="false" ht="52.2" hidden="false" customHeight="false" outlineLevel="0" collapsed="false">
      <c r="A159" s="19" t="s">
        <v>26</v>
      </c>
      <c r="B159" s="19" t="s">
        <v>40</v>
      </c>
      <c r="C159" s="19" t="s">
        <v>41</v>
      </c>
      <c r="D159" s="19" t="s">
        <v>107</v>
      </c>
      <c r="E159" s="19" t="s">
        <v>108</v>
      </c>
      <c r="F159" s="19" t="s">
        <v>258</v>
      </c>
      <c r="G159" s="20" t="n">
        <v>12</v>
      </c>
      <c r="H159" s="20" t="n">
        <v>11</v>
      </c>
      <c r="I159" s="20" t="n">
        <v>58</v>
      </c>
      <c r="J159" s="20" t="n">
        <v>60</v>
      </c>
      <c r="K159" s="21" t="n">
        <f aca="false">G159/H159</f>
        <v>1.09090909090909</v>
      </c>
      <c r="L159" s="21" t="n">
        <f aca="false">I159/J159</f>
        <v>0.966666666666667</v>
      </c>
      <c r="M159" s="20" t="n">
        <v>3.7</v>
      </c>
      <c r="N159" s="22" t="s">
        <v>110</v>
      </c>
    </row>
    <row r="160" customFormat="false" ht="52.2" hidden="false" customHeight="false" outlineLevel="0" collapsed="false">
      <c r="A160" s="19" t="s">
        <v>26</v>
      </c>
      <c r="B160" s="19" t="s">
        <v>40</v>
      </c>
      <c r="C160" s="19" t="s">
        <v>41</v>
      </c>
      <c r="D160" s="19" t="s">
        <v>111</v>
      </c>
      <c r="E160" s="19" t="s">
        <v>112</v>
      </c>
      <c r="F160" s="19" t="s">
        <v>259</v>
      </c>
      <c r="G160" s="20" t="n">
        <v>2</v>
      </c>
      <c r="H160" s="20" t="n">
        <v>8</v>
      </c>
      <c r="I160" s="20" t="n">
        <v>3</v>
      </c>
      <c r="J160" s="20" t="n">
        <v>53</v>
      </c>
      <c r="K160" s="21" t="n">
        <f aca="false">G160/H160</f>
        <v>0.25</v>
      </c>
      <c r="L160" s="21" t="n">
        <f aca="false">I160/J160</f>
        <v>0.0566037735849057</v>
      </c>
      <c r="M160" s="20" t="n">
        <v>0.4</v>
      </c>
      <c r="N160" s="22" t="s">
        <v>114</v>
      </c>
    </row>
    <row r="161" customFormat="false" ht="52.2" hidden="false" customHeight="false" outlineLevel="0" collapsed="false">
      <c r="A161" s="19" t="s">
        <v>26</v>
      </c>
      <c r="B161" s="19" t="s">
        <v>40</v>
      </c>
      <c r="C161" s="19" t="s">
        <v>41</v>
      </c>
      <c r="D161" s="19" t="s">
        <v>115</v>
      </c>
      <c r="E161" s="19" t="s">
        <v>116</v>
      </c>
      <c r="F161" s="19" t="s">
        <v>260</v>
      </c>
      <c r="G161" s="20" t="n">
        <v>1</v>
      </c>
      <c r="H161" s="20" t="n">
        <v>12</v>
      </c>
      <c r="I161" s="20" t="n">
        <v>1</v>
      </c>
      <c r="J161" s="20" t="n">
        <v>73</v>
      </c>
      <c r="K161" s="21" t="n">
        <f aca="false">G161/H161</f>
        <v>0.0833333333333333</v>
      </c>
      <c r="L161" s="21" t="n">
        <f aca="false">I161/J161</f>
        <v>0.0136986301369863</v>
      </c>
      <c r="M161" s="20" t="n">
        <v>0.5</v>
      </c>
      <c r="N161" s="22" t="s">
        <v>118</v>
      </c>
    </row>
    <row r="162" customFormat="false" ht="64.9" hidden="false" customHeight="false" outlineLevel="0" collapsed="false">
      <c r="A162" s="19" t="s">
        <v>26</v>
      </c>
      <c r="B162" s="19" t="s">
        <v>42</v>
      </c>
      <c r="C162" s="19" t="s">
        <v>43</v>
      </c>
      <c r="D162" s="19" t="s">
        <v>79</v>
      </c>
      <c r="E162" s="19" t="s">
        <v>80</v>
      </c>
      <c r="F162" s="19" t="s">
        <v>215</v>
      </c>
      <c r="G162" s="20" t="n">
        <v>1</v>
      </c>
      <c r="H162" s="20" t="n">
        <v>6</v>
      </c>
      <c r="I162" s="20" t="n">
        <v>1</v>
      </c>
      <c r="J162" s="20" t="n">
        <v>42</v>
      </c>
      <c r="K162" s="21" t="n">
        <f aca="false">G162/H162</f>
        <v>0.166666666666667</v>
      </c>
      <c r="L162" s="21" t="n">
        <f aca="false">I162/J162</f>
        <v>0.0238095238095238</v>
      </c>
      <c r="M162" s="20" t="n">
        <v>0.5</v>
      </c>
      <c r="N162" s="22" t="s">
        <v>120</v>
      </c>
    </row>
    <row r="163" customFormat="false" ht="64.9" hidden="false" customHeight="false" outlineLevel="0" collapsed="false">
      <c r="A163" s="19" t="s">
        <v>26</v>
      </c>
      <c r="B163" s="19" t="s">
        <v>42</v>
      </c>
      <c r="C163" s="19" t="s">
        <v>43</v>
      </c>
      <c r="D163" s="19" t="s">
        <v>83</v>
      </c>
      <c r="E163" s="19" t="s">
        <v>84</v>
      </c>
      <c r="F163" s="19" t="s">
        <v>261</v>
      </c>
      <c r="G163" s="20" t="n">
        <v>0</v>
      </c>
      <c r="H163" s="20" t="n">
        <v>8</v>
      </c>
      <c r="I163" s="20" t="n">
        <v>0</v>
      </c>
      <c r="J163" s="20" t="n">
        <v>53</v>
      </c>
      <c r="K163" s="21" t="n">
        <f aca="false">G163/H163</f>
        <v>0</v>
      </c>
      <c r="L163" s="21" t="n">
        <f aca="false">I163/J163</f>
        <v>0</v>
      </c>
      <c r="M163" s="20" t="n">
        <v>0.5</v>
      </c>
      <c r="N163" s="22" t="s">
        <v>122</v>
      </c>
    </row>
    <row r="164" customFormat="false" ht="64.9" hidden="false" customHeight="false" outlineLevel="0" collapsed="false">
      <c r="A164" s="19" t="s">
        <v>26</v>
      </c>
      <c r="B164" s="19" t="s">
        <v>42</v>
      </c>
      <c r="C164" s="19" t="s">
        <v>43</v>
      </c>
      <c r="D164" s="19" t="s">
        <v>87</v>
      </c>
      <c r="E164" s="19" t="s">
        <v>88</v>
      </c>
      <c r="F164" s="19" t="s">
        <v>262</v>
      </c>
      <c r="G164" s="20" t="n">
        <v>1</v>
      </c>
      <c r="H164" s="20" t="n">
        <v>8</v>
      </c>
      <c r="I164" s="20" t="n">
        <v>1</v>
      </c>
      <c r="J164" s="20" t="n">
        <v>69</v>
      </c>
      <c r="K164" s="21" t="n">
        <f aca="false">G164/H164</f>
        <v>0.125</v>
      </c>
      <c r="L164" s="21" t="n">
        <f aca="false">I164/J164</f>
        <v>0.0144927536231884</v>
      </c>
      <c r="M164" s="20" t="n">
        <v>0.5</v>
      </c>
      <c r="N164" s="22" t="s">
        <v>124</v>
      </c>
    </row>
    <row r="165" customFormat="false" ht="64.9" hidden="false" customHeight="false" outlineLevel="0" collapsed="false">
      <c r="A165" s="19" t="s">
        <v>26</v>
      </c>
      <c r="B165" s="19" t="s">
        <v>42</v>
      </c>
      <c r="C165" s="19" t="s">
        <v>43</v>
      </c>
      <c r="D165" s="19" t="s">
        <v>91</v>
      </c>
      <c r="E165" s="19" t="s">
        <v>92</v>
      </c>
      <c r="F165" s="19" t="s">
        <v>190</v>
      </c>
      <c r="G165" s="20" t="n">
        <v>0</v>
      </c>
      <c r="H165" s="20" t="n">
        <v>10</v>
      </c>
      <c r="I165" s="20" t="n">
        <v>0</v>
      </c>
      <c r="J165" s="20" t="n">
        <v>55</v>
      </c>
      <c r="K165" s="21" t="n">
        <f aca="false">G165/H165</f>
        <v>0</v>
      </c>
      <c r="L165" s="21" t="n">
        <f aca="false">I165/J165</f>
        <v>0</v>
      </c>
      <c r="M165" s="20" t="n">
        <v>0.5</v>
      </c>
      <c r="N165" s="22" t="s">
        <v>126</v>
      </c>
    </row>
    <row r="166" customFormat="false" ht="64.9" hidden="false" customHeight="false" outlineLevel="0" collapsed="false">
      <c r="A166" s="19" t="s">
        <v>26</v>
      </c>
      <c r="B166" s="19" t="s">
        <v>42</v>
      </c>
      <c r="C166" s="19" t="s">
        <v>43</v>
      </c>
      <c r="D166" s="19" t="s">
        <v>95</v>
      </c>
      <c r="E166" s="19" t="s">
        <v>96</v>
      </c>
      <c r="F166" s="19" t="s">
        <v>263</v>
      </c>
      <c r="G166" s="20" t="n">
        <v>1</v>
      </c>
      <c r="H166" s="20" t="n">
        <v>9</v>
      </c>
      <c r="I166" s="20" t="n">
        <v>1</v>
      </c>
      <c r="J166" s="20" t="n">
        <v>44</v>
      </c>
      <c r="K166" s="21" t="n">
        <f aca="false">G166/H166</f>
        <v>0.111111111111111</v>
      </c>
      <c r="L166" s="21" t="n">
        <f aca="false">I166/J166</f>
        <v>0.0227272727272727</v>
      </c>
      <c r="M166" s="20" t="n">
        <v>0.4</v>
      </c>
      <c r="N166" s="22" t="s">
        <v>128</v>
      </c>
    </row>
    <row r="167" customFormat="false" ht="64.9" hidden="false" customHeight="false" outlineLevel="0" collapsed="false">
      <c r="A167" s="19" t="s">
        <v>26</v>
      </c>
      <c r="B167" s="19" t="s">
        <v>42</v>
      </c>
      <c r="C167" s="19" t="s">
        <v>43</v>
      </c>
      <c r="D167" s="19" t="s">
        <v>99</v>
      </c>
      <c r="E167" s="19" t="s">
        <v>100</v>
      </c>
      <c r="F167" s="19" t="s">
        <v>264</v>
      </c>
      <c r="G167" s="20" t="n">
        <v>0</v>
      </c>
      <c r="H167" s="20" t="n">
        <v>6</v>
      </c>
      <c r="I167" s="20" t="n">
        <v>0</v>
      </c>
      <c r="J167" s="20" t="n">
        <v>35</v>
      </c>
      <c r="K167" s="21" t="n">
        <f aca="false">G167/H167</f>
        <v>0</v>
      </c>
      <c r="L167" s="21" t="n">
        <f aca="false">I167/J167</f>
        <v>0</v>
      </c>
      <c r="M167" s="20" t="n">
        <v>0.4</v>
      </c>
      <c r="N167" s="22" t="s">
        <v>130</v>
      </c>
    </row>
    <row r="168" customFormat="false" ht="64.9" hidden="false" customHeight="false" outlineLevel="0" collapsed="false">
      <c r="A168" s="19" t="s">
        <v>26</v>
      </c>
      <c r="B168" s="19" t="s">
        <v>42</v>
      </c>
      <c r="C168" s="19" t="s">
        <v>43</v>
      </c>
      <c r="D168" s="19" t="s">
        <v>103</v>
      </c>
      <c r="E168" s="19" t="s">
        <v>131</v>
      </c>
      <c r="F168" s="19" t="s">
        <v>265</v>
      </c>
      <c r="G168" s="20" t="n">
        <v>0</v>
      </c>
      <c r="H168" s="20" t="n">
        <v>10</v>
      </c>
      <c r="I168" s="20" t="n">
        <v>0</v>
      </c>
      <c r="J168" s="20" t="n">
        <v>58</v>
      </c>
      <c r="K168" s="21" t="n">
        <f aca="false">G168/H168</f>
        <v>0</v>
      </c>
      <c r="L168" s="21" t="n">
        <f aca="false">I168/J168</f>
        <v>0</v>
      </c>
      <c r="M168" s="20" t="n">
        <v>0.4</v>
      </c>
      <c r="N168" s="22" t="s">
        <v>133</v>
      </c>
    </row>
    <row r="169" customFormat="false" ht="64.9" hidden="false" customHeight="false" outlineLevel="0" collapsed="false">
      <c r="A169" s="19" t="s">
        <v>26</v>
      </c>
      <c r="B169" s="19" t="s">
        <v>42</v>
      </c>
      <c r="C169" s="19" t="s">
        <v>43</v>
      </c>
      <c r="D169" s="19" t="s">
        <v>107</v>
      </c>
      <c r="E169" s="19" t="s">
        <v>108</v>
      </c>
      <c r="F169" s="19" t="s">
        <v>266</v>
      </c>
      <c r="G169" s="20" t="n">
        <v>2</v>
      </c>
      <c r="H169" s="20" t="n">
        <v>11</v>
      </c>
      <c r="I169" s="20" t="n">
        <v>1</v>
      </c>
      <c r="J169" s="20" t="n">
        <v>60</v>
      </c>
      <c r="K169" s="21" t="n">
        <f aca="false">G169/H169</f>
        <v>0.181818181818182</v>
      </c>
      <c r="L169" s="21" t="n">
        <f aca="false">I169/J169</f>
        <v>0.0166666666666667</v>
      </c>
      <c r="M169" s="20" t="n">
        <v>0.5</v>
      </c>
      <c r="N169" s="22" t="s">
        <v>135</v>
      </c>
    </row>
    <row r="170" customFormat="false" ht="64.9" hidden="false" customHeight="false" outlineLevel="0" collapsed="false">
      <c r="A170" s="19" t="s">
        <v>26</v>
      </c>
      <c r="B170" s="19" t="s">
        <v>42</v>
      </c>
      <c r="C170" s="19" t="s">
        <v>43</v>
      </c>
      <c r="D170" s="19" t="s">
        <v>111</v>
      </c>
      <c r="E170" s="19" t="s">
        <v>112</v>
      </c>
      <c r="F170" s="19" t="s">
        <v>267</v>
      </c>
      <c r="G170" s="20" t="n">
        <v>2</v>
      </c>
      <c r="H170" s="20" t="n">
        <v>8</v>
      </c>
      <c r="I170" s="20" t="n">
        <v>3</v>
      </c>
      <c r="J170" s="20" t="n">
        <v>53</v>
      </c>
      <c r="K170" s="21" t="n">
        <f aca="false">G170/H170</f>
        <v>0.25</v>
      </c>
      <c r="L170" s="21" t="n">
        <f aca="false">I170/J170</f>
        <v>0.0566037735849057</v>
      </c>
      <c r="M170" s="20" t="n">
        <v>0.4</v>
      </c>
      <c r="N170" s="22" t="s">
        <v>137</v>
      </c>
    </row>
    <row r="171" customFormat="false" ht="64.9" hidden="false" customHeight="false" outlineLevel="0" collapsed="false">
      <c r="A171" s="19" t="s">
        <v>26</v>
      </c>
      <c r="B171" s="19" t="s">
        <v>42</v>
      </c>
      <c r="C171" s="19" t="s">
        <v>43</v>
      </c>
      <c r="D171" s="19" t="s">
        <v>115</v>
      </c>
      <c r="E171" s="19" t="s">
        <v>116</v>
      </c>
      <c r="F171" s="19" t="s">
        <v>268</v>
      </c>
      <c r="G171" s="20" t="n">
        <v>0</v>
      </c>
      <c r="H171" s="20" t="n">
        <v>12</v>
      </c>
      <c r="I171" s="20" t="n">
        <v>0</v>
      </c>
      <c r="J171" s="20" t="n">
        <v>73</v>
      </c>
      <c r="K171" s="21" t="n">
        <f aca="false">G171/H171</f>
        <v>0</v>
      </c>
      <c r="L171" s="21" t="n">
        <f aca="false">I171/J171</f>
        <v>0</v>
      </c>
      <c r="M171" s="20" t="n">
        <v>0.5</v>
      </c>
      <c r="N171" s="22" t="s">
        <v>139</v>
      </c>
    </row>
    <row r="172" customFormat="false" ht="52.2" hidden="false" customHeight="false" outlineLevel="0" collapsed="false">
      <c r="A172" s="19" t="s">
        <v>26</v>
      </c>
      <c r="B172" s="19" t="s">
        <v>44</v>
      </c>
      <c r="C172" s="19" t="s">
        <v>45</v>
      </c>
      <c r="D172" s="19" t="s">
        <v>79</v>
      </c>
      <c r="E172" s="19" t="s">
        <v>80</v>
      </c>
      <c r="F172" s="19" t="s">
        <v>269</v>
      </c>
      <c r="G172" s="20" t="n">
        <v>1</v>
      </c>
      <c r="H172" s="20" t="n">
        <v>6</v>
      </c>
      <c r="I172" s="20" t="n">
        <v>1</v>
      </c>
      <c r="J172" s="20" t="n">
        <v>42</v>
      </c>
      <c r="K172" s="21" t="n">
        <f aca="false">G172/H172</f>
        <v>0.166666666666667</v>
      </c>
      <c r="L172" s="21" t="n">
        <f aca="false">I172/J172</f>
        <v>0.0238095238095238</v>
      </c>
      <c r="M172" s="20" t="n">
        <v>0.4</v>
      </c>
      <c r="N172" s="22" t="s">
        <v>141</v>
      </c>
    </row>
    <row r="173" customFormat="false" ht="52.2" hidden="false" customHeight="false" outlineLevel="0" collapsed="false">
      <c r="A173" s="19" t="s">
        <v>26</v>
      </c>
      <c r="B173" s="19" t="s">
        <v>44</v>
      </c>
      <c r="C173" s="19" t="s">
        <v>45</v>
      </c>
      <c r="D173" s="19" t="s">
        <v>83</v>
      </c>
      <c r="E173" s="19" t="s">
        <v>84</v>
      </c>
      <c r="F173" s="19" t="s">
        <v>261</v>
      </c>
      <c r="G173" s="20" t="n">
        <v>0</v>
      </c>
      <c r="H173" s="20" t="n">
        <v>8</v>
      </c>
      <c r="I173" s="20" t="n">
        <v>0</v>
      </c>
      <c r="J173" s="20" t="n">
        <v>53</v>
      </c>
      <c r="K173" s="21" t="n">
        <f aca="false">G173/H173</f>
        <v>0</v>
      </c>
      <c r="L173" s="21" t="n">
        <f aca="false">I173/J173</f>
        <v>0</v>
      </c>
      <c r="M173" s="20" t="n">
        <v>0.5</v>
      </c>
      <c r="N173" s="22" t="s">
        <v>143</v>
      </c>
    </row>
    <row r="174" customFormat="false" ht="52.2" hidden="false" customHeight="false" outlineLevel="0" collapsed="false">
      <c r="A174" s="19" t="s">
        <v>26</v>
      </c>
      <c r="B174" s="19" t="s">
        <v>44</v>
      </c>
      <c r="C174" s="19" t="s">
        <v>45</v>
      </c>
      <c r="D174" s="19" t="s">
        <v>87</v>
      </c>
      <c r="E174" s="19" t="s">
        <v>88</v>
      </c>
      <c r="F174" s="19" t="s">
        <v>270</v>
      </c>
      <c r="G174" s="20" t="n">
        <v>0</v>
      </c>
      <c r="H174" s="20" t="n">
        <v>8</v>
      </c>
      <c r="I174" s="20" t="n">
        <v>0</v>
      </c>
      <c r="J174" s="20" t="n">
        <v>69</v>
      </c>
      <c r="K174" s="21" t="n">
        <f aca="false">G174/H174</f>
        <v>0</v>
      </c>
      <c r="L174" s="21" t="n">
        <f aca="false">I174/J174</f>
        <v>0</v>
      </c>
      <c r="M174" s="20" t="n">
        <v>0.5</v>
      </c>
      <c r="N174" s="22" t="s">
        <v>145</v>
      </c>
    </row>
    <row r="175" customFormat="false" ht="52.2" hidden="false" customHeight="false" outlineLevel="0" collapsed="false">
      <c r="A175" s="19" t="s">
        <v>26</v>
      </c>
      <c r="B175" s="19" t="s">
        <v>44</v>
      </c>
      <c r="C175" s="19" t="s">
        <v>45</v>
      </c>
      <c r="D175" s="19" t="s">
        <v>91</v>
      </c>
      <c r="E175" s="19" t="s">
        <v>92</v>
      </c>
      <c r="F175" s="19" t="s">
        <v>271</v>
      </c>
      <c r="G175" s="20" t="n">
        <v>1</v>
      </c>
      <c r="H175" s="20" t="n">
        <v>10</v>
      </c>
      <c r="I175" s="20" t="n">
        <v>2</v>
      </c>
      <c r="J175" s="20" t="n">
        <v>55</v>
      </c>
      <c r="K175" s="21" t="n">
        <f aca="false">G175/H175</f>
        <v>0.1</v>
      </c>
      <c r="L175" s="21" t="n">
        <f aca="false">I175/J175</f>
        <v>0.0363636363636364</v>
      </c>
      <c r="M175" s="20" t="n">
        <v>0.4</v>
      </c>
      <c r="N175" s="22" t="s">
        <v>147</v>
      </c>
    </row>
    <row r="176" customFormat="false" ht="52.2" hidden="false" customHeight="false" outlineLevel="0" collapsed="false">
      <c r="A176" s="19" t="s">
        <v>26</v>
      </c>
      <c r="B176" s="19" t="s">
        <v>44</v>
      </c>
      <c r="C176" s="19" t="s">
        <v>45</v>
      </c>
      <c r="D176" s="19" t="s">
        <v>95</v>
      </c>
      <c r="E176" s="19" t="s">
        <v>96</v>
      </c>
      <c r="F176" s="19" t="s">
        <v>272</v>
      </c>
      <c r="G176" s="20" t="n">
        <v>0</v>
      </c>
      <c r="H176" s="20" t="n">
        <v>9</v>
      </c>
      <c r="I176" s="20" t="n">
        <v>0</v>
      </c>
      <c r="J176" s="20" t="n">
        <v>44</v>
      </c>
      <c r="K176" s="21" t="n">
        <f aca="false">G176/H176</f>
        <v>0</v>
      </c>
      <c r="L176" s="21" t="n">
        <f aca="false">I176/J176</f>
        <v>0</v>
      </c>
      <c r="M176" s="20" t="n">
        <v>0.4</v>
      </c>
      <c r="N176" s="22" t="s">
        <v>149</v>
      </c>
    </row>
    <row r="177" customFormat="false" ht="52.2" hidden="false" customHeight="false" outlineLevel="0" collapsed="false">
      <c r="A177" s="19" t="s">
        <v>26</v>
      </c>
      <c r="B177" s="19" t="s">
        <v>44</v>
      </c>
      <c r="C177" s="19" t="s">
        <v>45</v>
      </c>
      <c r="D177" s="19" t="s">
        <v>99</v>
      </c>
      <c r="E177" s="19" t="s">
        <v>100</v>
      </c>
      <c r="F177" s="19" t="s">
        <v>182</v>
      </c>
      <c r="G177" s="20" t="n">
        <v>1</v>
      </c>
      <c r="H177" s="20" t="n">
        <v>6</v>
      </c>
      <c r="I177" s="20" t="n">
        <v>1</v>
      </c>
      <c r="J177" s="20" t="n">
        <v>35</v>
      </c>
      <c r="K177" s="21" t="n">
        <f aca="false">G177/H177</f>
        <v>0.166666666666667</v>
      </c>
      <c r="L177" s="21" t="n">
        <f aca="false">I177/J177</f>
        <v>0.0285714285714286</v>
      </c>
      <c r="M177" s="20" t="n">
        <v>0.4</v>
      </c>
      <c r="N177" s="22" t="s">
        <v>151</v>
      </c>
    </row>
    <row r="178" customFormat="false" ht="52.2" hidden="false" customHeight="false" outlineLevel="0" collapsed="false">
      <c r="A178" s="19" t="s">
        <v>26</v>
      </c>
      <c r="B178" s="19" t="s">
        <v>44</v>
      </c>
      <c r="C178" s="19" t="s">
        <v>45</v>
      </c>
      <c r="D178" s="19" t="s">
        <v>103</v>
      </c>
      <c r="E178" s="19" t="s">
        <v>131</v>
      </c>
      <c r="F178" s="19" t="s">
        <v>273</v>
      </c>
      <c r="G178" s="20" t="n">
        <v>3</v>
      </c>
      <c r="H178" s="20" t="n">
        <v>10</v>
      </c>
      <c r="I178" s="20" t="n">
        <v>5</v>
      </c>
      <c r="J178" s="20" t="n">
        <v>58</v>
      </c>
      <c r="K178" s="21" t="n">
        <f aca="false">G178/H178</f>
        <v>0.3</v>
      </c>
      <c r="L178" s="21" t="n">
        <f aca="false">I178/J178</f>
        <v>0.0862068965517241</v>
      </c>
      <c r="M178" s="20" t="n">
        <v>0.4</v>
      </c>
      <c r="N178" s="22" t="s">
        <v>153</v>
      </c>
    </row>
    <row r="179" customFormat="false" ht="52.2" hidden="false" customHeight="false" outlineLevel="0" collapsed="false">
      <c r="A179" s="19" t="s">
        <v>26</v>
      </c>
      <c r="B179" s="19" t="s">
        <v>44</v>
      </c>
      <c r="C179" s="19" t="s">
        <v>45</v>
      </c>
      <c r="D179" s="19" t="s">
        <v>107</v>
      </c>
      <c r="E179" s="19" t="s">
        <v>108</v>
      </c>
      <c r="F179" s="19" t="s">
        <v>266</v>
      </c>
      <c r="G179" s="20" t="n">
        <v>2</v>
      </c>
      <c r="H179" s="20" t="n">
        <v>11</v>
      </c>
      <c r="I179" s="20" t="n">
        <v>1</v>
      </c>
      <c r="J179" s="20" t="n">
        <v>60</v>
      </c>
      <c r="K179" s="21" t="n">
        <f aca="false">G179/H179</f>
        <v>0.181818181818182</v>
      </c>
      <c r="L179" s="21" t="n">
        <f aca="false">I179/J179</f>
        <v>0.0166666666666667</v>
      </c>
      <c r="M179" s="20" t="n">
        <v>0.4</v>
      </c>
      <c r="N179" s="22" t="s">
        <v>155</v>
      </c>
    </row>
    <row r="180" customFormat="false" ht="52.2" hidden="false" customHeight="false" outlineLevel="0" collapsed="false">
      <c r="A180" s="19" t="s">
        <v>26</v>
      </c>
      <c r="B180" s="19" t="s">
        <v>44</v>
      </c>
      <c r="C180" s="19" t="s">
        <v>45</v>
      </c>
      <c r="D180" s="19" t="s">
        <v>111</v>
      </c>
      <c r="E180" s="19" t="s">
        <v>112</v>
      </c>
      <c r="F180" s="19" t="s">
        <v>274</v>
      </c>
      <c r="G180" s="20" t="n">
        <v>1</v>
      </c>
      <c r="H180" s="20" t="n">
        <v>8</v>
      </c>
      <c r="I180" s="20" t="n">
        <v>2</v>
      </c>
      <c r="J180" s="20" t="n">
        <v>53</v>
      </c>
      <c r="K180" s="21" t="n">
        <f aca="false">G180/H180</f>
        <v>0.125</v>
      </c>
      <c r="L180" s="21" t="n">
        <f aca="false">I180/J180</f>
        <v>0.0377358490566038</v>
      </c>
      <c r="M180" s="20" t="n">
        <v>0.4</v>
      </c>
      <c r="N180" s="22" t="s">
        <v>157</v>
      </c>
    </row>
    <row r="181" customFormat="false" ht="52.2" hidden="false" customHeight="false" outlineLevel="0" collapsed="false">
      <c r="A181" s="19" t="s">
        <v>26</v>
      </c>
      <c r="B181" s="19" t="s">
        <v>44</v>
      </c>
      <c r="C181" s="19" t="s">
        <v>45</v>
      </c>
      <c r="D181" s="19" t="s">
        <v>115</v>
      </c>
      <c r="E181" s="19" t="s">
        <v>116</v>
      </c>
      <c r="F181" s="19" t="s">
        <v>260</v>
      </c>
      <c r="G181" s="20" t="n">
        <v>1</v>
      </c>
      <c r="H181" s="20" t="n">
        <v>12</v>
      </c>
      <c r="I181" s="20" t="n">
        <v>1</v>
      </c>
      <c r="J181" s="20" t="n">
        <v>73</v>
      </c>
      <c r="K181" s="21" t="n">
        <f aca="false">G181/H181</f>
        <v>0.0833333333333333</v>
      </c>
      <c r="L181" s="21" t="n">
        <f aca="false">I181/J181</f>
        <v>0.0136986301369863</v>
      </c>
      <c r="M181" s="20" t="n">
        <v>0.5</v>
      </c>
      <c r="N181" s="22" t="s">
        <v>159</v>
      </c>
    </row>
    <row r="182" customFormat="false" ht="52.2" hidden="false" customHeight="false" outlineLevel="0" collapsed="false">
      <c r="A182" s="19" t="s">
        <v>28</v>
      </c>
      <c r="B182" s="19" t="s">
        <v>40</v>
      </c>
      <c r="C182" s="19" t="s">
        <v>41</v>
      </c>
      <c r="D182" s="19" t="s">
        <v>79</v>
      </c>
      <c r="E182" s="19" t="s">
        <v>80</v>
      </c>
      <c r="F182" s="19" t="s">
        <v>275</v>
      </c>
      <c r="G182" s="20" t="n">
        <v>0</v>
      </c>
      <c r="H182" s="20" t="n">
        <v>6</v>
      </c>
      <c r="I182" s="20" t="n">
        <v>0</v>
      </c>
      <c r="J182" s="20" t="n">
        <v>42</v>
      </c>
      <c r="K182" s="21" t="n">
        <f aca="false">G182/H182</f>
        <v>0</v>
      </c>
      <c r="L182" s="21" t="n">
        <f aca="false">I182/J182</f>
        <v>0</v>
      </c>
      <c r="M182" s="20" t="n">
        <v>2.7</v>
      </c>
      <c r="N182" s="22" t="s">
        <v>82</v>
      </c>
    </row>
    <row r="183" customFormat="false" ht="52.2" hidden="false" customHeight="false" outlineLevel="0" collapsed="false">
      <c r="A183" s="19" t="s">
        <v>28</v>
      </c>
      <c r="B183" s="19" t="s">
        <v>40</v>
      </c>
      <c r="C183" s="19" t="s">
        <v>41</v>
      </c>
      <c r="D183" s="19" t="s">
        <v>83</v>
      </c>
      <c r="E183" s="19" t="s">
        <v>84</v>
      </c>
      <c r="F183" s="19" t="s">
        <v>261</v>
      </c>
      <c r="G183" s="20" t="n">
        <v>0</v>
      </c>
      <c r="H183" s="20" t="n">
        <v>8</v>
      </c>
      <c r="I183" s="20" t="n">
        <v>0</v>
      </c>
      <c r="J183" s="20" t="n">
        <v>53</v>
      </c>
      <c r="K183" s="21" t="n">
        <f aca="false">G183/H183</f>
        <v>0</v>
      </c>
      <c r="L183" s="21" t="n">
        <f aca="false">I183/J183</f>
        <v>0</v>
      </c>
      <c r="M183" s="20" t="n">
        <v>1</v>
      </c>
      <c r="N183" s="22" t="s">
        <v>86</v>
      </c>
    </row>
    <row r="184" customFormat="false" ht="52.2" hidden="false" customHeight="false" outlineLevel="0" collapsed="false">
      <c r="A184" s="19" t="s">
        <v>28</v>
      </c>
      <c r="B184" s="19" t="s">
        <v>40</v>
      </c>
      <c r="C184" s="19" t="s">
        <v>41</v>
      </c>
      <c r="D184" s="19" t="s">
        <v>87</v>
      </c>
      <c r="E184" s="19" t="s">
        <v>88</v>
      </c>
      <c r="F184" s="19" t="s">
        <v>276</v>
      </c>
      <c r="G184" s="20" t="n">
        <v>1</v>
      </c>
      <c r="H184" s="20" t="n">
        <v>8</v>
      </c>
      <c r="I184" s="20" t="n">
        <v>1</v>
      </c>
      <c r="J184" s="20" t="n">
        <v>69</v>
      </c>
      <c r="K184" s="21" t="n">
        <f aca="false">G184/H184</f>
        <v>0.125</v>
      </c>
      <c r="L184" s="21" t="n">
        <f aca="false">I184/J184</f>
        <v>0.0144927536231884</v>
      </c>
      <c r="M184" s="20" t="n">
        <v>1.1</v>
      </c>
      <c r="N184" s="22" t="s">
        <v>90</v>
      </c>
    </row>
    <row r="185" customFormat="false" ht="52.2" hidden="false" customHeight="false" outlineLevel="0" collapsed="false">
      <c r="A185" s="19" t="s">
        <v>28</v>
      </c>
      <c r="B185" s="19" t="s">
        <v>40</v>
      </c>
      <c r="C185" s="19" t="s">
        <v>41</v>
      </c>
      <c r="D185" s="19" t="s">
        <v>91</v>
      </c>
      <c r="E185" s="19" t="s">
        <v>92</v>
      </c>
      <c r="F185" s="19" t="s">
        <v>190</v>
      </c>
      <c r="G185" s="20" t="n">
        <v>0</v>
      </c>
      <c r="H185" s="20" t="n">
        <v>10</v>
      </c>
      <c r="I185" s="20" t="n">
        <v>0</v>
      </c>
      <c r="J185" s="20" t="n">
        <v>55</v>
      </c>
      <c r="K185" s="21" t="n">
        <f aca="false">G185/H185</f>
        <v>0</v>
      </c>
      <c r="L185" s="21" t="n">
        <f aca="false">I185/J185</f>
        <v>0</v>
      </c>
      <c r="M185" s="20" t="n">
        <v>1</v>
      </c>
      <c r="N185" s="22" t="s">
        <v>94</v>
      </c>
    </row>
    <row r="186" customFormat="false" ht="52.2" hidden="false" customHeight="false" outlineLevel="0" collapsed="false">
      <c r="A186" s="19" t="s">
        <v>28</v>
      </c>
      <c r="B186" s="19" t="s">
        <v>40</v>
      </c>
      <c r="C186" s="19" t="s">
        <v>41</v>
      </c>
      <c r="D186" s="19" t="s">
        <v>95</v>
      </c>
      <c r="E186" s="19" t="s">
        <v>96</v>
      </c>
      <c r="F186" s="19" t="s">
        <v>277</v>
      </c>
      <c r="G186" s="20" t="n">
        <v>1</v>
      </c>
      <c r="H186" s="20" t="n">
        <v>9</v>
      </c>
      <c r="I186" s="20" t="n">
        <v>3</v>
      </c>
      <c r="J186" s="20" t="n">
        <v>44</v>
      </c>
      <c r="K186" s="21" t="n">
        <f aca="false">G186/H186</f>
        <v>0.111111111111111</v>
      </c>
      <c r="L186" s="21" t="n">
        <f aca="false">I186/J186</f>
        <v>0.0681818181818182</v>
      </c>
      <c r="M186" s="20" t="n">
        <v>0.8</v>
      </c>
      <c r="N186" s="22" t="s">
        <v>98</v>
      </c>
    </row>
    <row r="187" customFormat="false" ht="52.2" hidden="false" customHeight="false" outlineLevel="0" collapsed="false">
      <c r="A187" s="19" t="s">
        <v>28</v>
      </c>
      <c r="B187" s="19" t="s">
        <v>40</v>
      </c>
      <c r="C187" s="19" t="s">
        <v>41</v>
      </c>
      <c r="D187" s="19" t="s">
        <v>99</v>
      </c>
      <c r="E187" s="19" t="s">
        <v>100</v>
      </c>
      <c r="F187" s="19" t="s">
        <v>264</v>
      </c>
      <c r="G187" s="20" t="n">
        <v>0</v>
      </c>
      <c r="H187" s="20" t="n">
        <v>6</v>
      </c>
      <c r="I187" s="20" t="n">
        <v>0</v>
      </c>
      <c r="J187" s="20" t="n">
        <v>35</v>
      </c>
      <c r="K187" s="21" t="n">
        <f aca="false">G187/H187</f>
        <v>0</v>
      </c>
      <c r="L187" s="21" t="n">
        <f aca="false">I187/J187</f>
        <v>0</v>
      </c>
      <c r="M187" s="20" t="n">
        <v>0.7</v>
      </c>
      <c r="N187" s="22" t="s">
        <v>102</v>
      </c>
    </row>
    <row r="188" customFormat="false" ht="52.2" hidden="false" customHeight="false" outlineLevel="0" collapsed="false">
      <c r="A188" s="19" t="s">
        <v>28</v>
      </c>
      <c r="B188" s="19" t="s">
        <v>40</v>
      </c>
      <c r="C188" s="19" t="s">
        <v>41</v>
      </c>
      <c r="D188" s="19" t="s">
        <v>103</v>
      </c>
      <c r="E188" s="19" t="s">
        <v>104</v>
      </c>
      <c r="F188" s="19" t="s">
        <v>278</v>
      </c>
      <c r="G188" s="20" t="n">
        <v>3</v>
      </c>
      <c r="H188" s="20" t="n">
        <v>13</v>
      </c>
      <c r="I188" s="20" t="n">
        <v>2</v>
      </c>
      <c r="J188" s="20" t="n">
        <v>67</v>
      </c>
      <c r="K188" s="21" t="n">
        <f aca="false">G188/H188</f>
        <v>0.230769230769231</v>
      </c>
      <c r="L188" s="21" t="n">
        <f aca="false">I188/J188</f>
        <v>0.0298507462686567</v>
      </c>
      <c r="M188" s="20" t="n">
        <v>1.2</v>
      </c>
      <c r="N188" s="22" t="s">
        <v>106</v>
      </c>
    </row>
    <row r="189" customFormat="false" ht="52.2" hidden="false" customHeight="false" outlineLevel="0" collapsed="false">
      <c r="A189" s="19" t="s">
        <v>28</v>
      </c>
      <c r="B189" s="19" t="s">
        <v>40</v>
      </c>
      <c r="C189" s="19" t="s">
        <v>41</v>
      </c>
      <c r="D189" s="19" t="s">
        <v>107</v>
      </c>
      <c r="E189" s="19" t="s">
        <v>108</v>
      </c>
      <c r="F189" s="19" t="s">
        <v>279</v>
      </c>
      <c r="G189" s="20" t="n">
        <v>0</v>
      </c>
      <c r="H189" s="20" t="n">
        <v>11</v>
      </c>
      <c r="I189" s="20" t="n">
        <v>0</v>
      </c>
      <c r="J189" s="20" t="n">
        <v>60</v>
      </c>
      <c r="K189" s="21" t="n">
        <f aca="false">G189/H189</f>
        <v>0</v>
      </c>
      <c r="L189" s="21" t="n">
        <f aca="false">I189/J189</f>
        <v>0</v>
      </c>
      <c r="M189" s="20" t="n">
        <v>1.3</v>
      </c>
      <c r="N189" s="22" t="s">
        <v>110</v>
      </c>
    </row>
    <row r="190" customFormat="false" ht="52.2" hidden="false" customHeight="false" outlineLevel="0" collapsed="false">
      <c r="A190" s="19" t="s">
        <v>28</v>
      </c>
      <c r="B190" s="19" t="s">
        <v>40</v>
      </c>
      <c r="C190" s="19" t="s">
        <v>41</v>
      </c>
      <c r="D190" s="19" t="s">
        <v>111</v>
      </c>
      <c r="E190" s="19" t="s">
        <v>112</v>
      </c>
      <c r="F190" s="19" t="s">
        <v>280</v>
      </c>
      <c r="G190" s="20" t="n">
        <v>0</v>
      </c>
      <c r="H190" s="20" t="n">
        <v>8</v>
      </c>
      <c r="I190" s="20" t="n">
        <v>0</v>
      </c>
      <c r="J190" s="20" t="n">
        <v>53</v>
      </c>
      <c r="K190" s="21" t="n">
        <f aca="false">G190/H190</f>
        <v>0</v>
      </c>
      <c r="L190" s="21" t="n">
        <f aca="false">I190/J190</f>
        <v>0</v>
      </c>
      <c r="M190" s="20" t="n">
        <v>1</v>
      </c>
      <c r="N190" s="22" t="s">
        <v>114</v>
      </c>
    </row>
    <row r="191" customFormat="false" ht="52.2" hidden="false" customHeight="false" outlineLevel="0" collapsed="false">
      <c r="A191" s="19" t="s">
        <v>28</v>
      </c>
      <c r="B191" s="19" t="s">
        <v>40</v>
      </c>
      <c r="C191" s="19" t="s">
        <v>41</v>
      </c>
      <c r="D191" s="19" t="s">
        <v>115</v>
      </c>
      <c r="E191" s="19" t="s">
        <v>116</v>
      </c>
      <c r="F191" s="19" t="s">
        <v>268</v>
      </c>
      <c r="G191" s="20" t="n">
        <v>0</v>
      </c>
      <c r="H191" s="20" t="n">
        <v>12</v>
      </c>
      <c r="I191" s="20" t="n">
        <v>0</v>
      </c>
      <c r="J191" s="20" t="n">
        <v>73</v>
      </c>
      <c r="K191" s="21" t="n">
        <f aca="false">G191/H191</f>
        <v>0</v>
      </c>
      <c r="L191" s="21" t="n">
        <f aca="false">I191/J191</f>
        <v>0</v>
      </c>
      <c r="M191" s="20" t="n">
        <v>1.3</v>
      </c>
      <c r="N191" s="22" t="s">
        <v>118</v>
      </c>
    </row>
    <row r="192" customFormat="false" ht="64.9" hidden="false" customHeight="false" outlineLevel="0" collapsed="false">
      <c r="A192" s="19" t="s">
        <v>28</v>
      </c>
      <c r="B192" s="19" t="s">
        <v>42</v>
      </c>
      <c r="C192" s="19" t="s">
        <v>43</v>
      </c>
      <c r="D192" s="19" t="s">
        <v>79</v>
      </c>
      <c r="E192" s="19" t="s">
        <v>80</v>
      </c>
      <c r="F192" s="19" t="s">
        <v>275</v>
      </c>
      <c r="G192" s="20" t="n">
        <v>0</v>
      </c>
      <c r="H192" s="20" t="n">
        <v>6</v>
      </c>
      <c r="I192" s="20" t="n">
        <v>0</v>
      </c>
      <c r="J192" s="20" t="n">
        <v>42</v>
      </c>
      <c r="K192" s="21" t="n">
        <f aca="false">G192/H192</f>
        <v>0</v>
      </c>
      <c r="L192" s="21" t="n">
        <f aca="false">I192/J192</f>
        <v>0</v>
      </c>
      <c r="M192" s="20" t="n">
        <v>0.8</v>
      </c>
      <c r="N192" s="22" t="s">
        <v>120</v>
      </c>
    </row>
    <row r="193" customFormat="false" ht="64.9" hidden="false" customHeight="false" outlineLevel="0" collapsed="false">
      <c r="A193" s="19" t="s">
        <v>28</v>
      </c>
      <c r="B193" s="19" t="s">
        <v>42</v>
      </c>
      <c r="C193" s="19" t="s">
        <v>43</v>
      </c>
      <c r="D193" s="19" t="s">
        <v>83</v>
      </c>
      <c r="E193" s="19" t="s">
        <v>84</v>
      </c>
      <c r="F193" s="19" t="s">
        <v>261</v>
      </c>
      <c r="G193" s="20" t="n">
        <v>0</v>
      </c>
      <c r="H193" s="20" t="n">
        <v>8</v>
      </c>
      <c r="I193" s="20" t="n">
        <v>0</v>
      </c>
      <c r="J193" s="20" t="n">
        <v>53</v>
      </c>
      <c r="K193" s="21" t="n">
        <f aca="false">G193/H193</f>
        <v>0</v>
      </c>
      <c r="L193" s="21" t="n">
        <f aca="false">I193/J193</f>
        <v>0</v>
      </c>
      <c r="M193" s="20" t="n">
        <v>1</v>
      </c>
      <c r="N193" s="22" t="s">
        <v>122</v>
      </c>
    </row>
    <row r="194" customFormat="false" ht="64.9" hidden="false" customHeight="false" outlineLevel="0" collapsed="false">
      <c r="A194" s="19" t="s">
        <v>28</v>
      </c>
      <c r="B194" s="19" t="s">
        <v>42</v>
      </c>
      <c r="C194" s="19" t="s">
        <v>43</v>
      </c>
      <c r="D194" s="19" t="s">
        <v>87</v>
      </c>
      <c r="E194" s="19" t="s">
        <v>88</v>
      </c>
      <c r="F194" s="19" t="s">
        <v>281</v>
      </c>
      <c r="G194" s="20" t="n">
        <v>1</v>
      </c>
      <c r="H194" s="20" t="n">
        <v>8</v>
      </c>
      <c r="I194" s="20" t="n">
        <v>9</v>
      </c>
      <c r="J194" s="20" t="n">
        <v>69</v>
      </c>
      <c r="K194" s="21" t="n">
        <f aca="false">G194/H194</f>
        <v>0.125</v>
      </c>
      <c r="L194" s="21" t="n">
        <f aca="false">I194/J194</f>
        <v>0.130434782608696</v>
      </c>
      <c r="M194" s="20" t="n">
        <v>1</v>
      </c>
      <c r="N194" s="22" t="s">
        <v>124</v>
      </c>
    </row>
    <row r="195" customFormat="false" ht="64.9" hidden="false" customHeight="false" outlineLevel="0" collapsed="false">
      <c r="A195" s="19" t="s">
        <v>28</v>
      </c>
      <c r="B195" s="19" t="s">
        <v>42</v>
      </c>
      <c r="C195" s="19" t="s">
        <v>43</v>
      </c>
      <c r="D195" s="19" t="s">
        <v>91</v>
      </c>
      <c r="E195" s="19" t="s">
        <v>92</v>
      </c>
      <c r="F195" s="19" t="s">
        <v>190</v>
      </c>
      <c r="G195" s="20" t="n">
        <v>0</v>
      </c>
      <c r="H195" s="20" t="n">
        <v>10</v>
      </c>
      <c r="I195" s="20" t="n">
        <v>0</v>
      </c>
      <c r="J195" s="20" t="n">
        <v>55</v>
      </c>
      <c r="K195" s="21" t="n">
        <f aca="false">G195/H195</f>
        <v>0</v>
      </c>
      <c r="L195" s="21" t="n">
        <f aca="false">I195/J195</f>
        <v>0</v>
      </c>
      <c r="M195" s="20" t="n">
        <v>1</v>
      </c>
      <c r="N195" s="22" t="s">
        <v>126</v>
      </c>
    </row>
    <row r="196" customFormat="false" ht="64.9" hidden="false" customHeight="false" outlineLevel="0" collapsed="false">
      <c r="A196" s="19" t="s">
        <v>28</v>
      </c>
      <c r="B196" s="19" t="s">
        <v>42</v>
      </c>
      <c r="C196" s="19" t="s">
        <v>43</v>
      </c>
      <c r="D196" s="19" t="s">
        <v>95</v>
      </c>
      <c r="E196" s="19" t="s">
        <v>96</v>
      </c>
      <c r="F196" s="19" t="s">
        <v>272</v>
      </c>
      <c r="G196" s="20" t="n">
        <v>0</v>
      </c>
      <c r="H196" s="20" t="n">
        <v>9</v>
      </c>
      <c r="I196" s="20" t="n">
        <v>0</v>
      </c>
      <c r="J196" s="20" t="n">
        <v>44</v>
      </c>
      <c r="K196" s="21" t="n">
        <f aca="false">G196/H196</f>
        <v>0</v>
      </c>
      <c r="L196" s="21" t="n">
        <f aca="false">I196/J196</f>
        <v>0</v>
      </c>
      <c r="M196" s="20" t="n">
        <v>0.8</v>
      </c>
      <c r="N196" s="22" t="s">
        <v>128</v>
      </c>
    </row>
    <row r="197" customFormat="false" ht="64.9" hidden="false" customHeight="false" outlineLevel="0" collapsed="false">
      <c r="A197" s="19" t="s">
        <v>28</v>
      </c>
      <c r="B197" s="19" t="s">
        <v>42</v>
      </c>
      <c r="C197" s="19" t="s">
        <v>43</v>
      </c>
      <c r="D197" s="19" t="s">
        <v>99</v>
      </c>
      <c r="E197" s="19" t="s">
        <v>100</v>
      </c>
      <c r="F197" s="19" t="s">
        <v>264</v>
      </c>
      <c r="G197" s="20" t="n">
        <v>0</v>
      </c>
      <c r="H197" s="20" t="n">
        <v>6</v>
      </c>
      <c r="I197" s="20" t="n">
        <v>0</v>
      </c>
      <c r="J197" s="20" t="n">
        <v>35</v>
      </c>
      <c r="K197" s="21" t="n">
        <f aca="false">G197/H197</f>
        <v>0</v>
      </c>
      <c r="L197" s="21" t="n">
        <f aca="false">I197/J197</f>
        <v>0</v>
      </c>
      <c r="M197" s="20" t="n">
        <v>0.7</v>
      </c>
      <c r="N197" s="22" t="s">
        <v>130</v>
      </c>
    </row>
    <row r="198" customFormat="false" ht="64.9" hidden="false" customHeight="false" outlineLevel="0" collapsed="false">
      <c r="A198" s="19" t="s">
        <v>28</v>
      </c>
      <c r="B198" s="19" t="s">
        <v>42</v>
      </c>
      <c r="C198" s="19" t="s">
        <v>43</v>
      </c>
      <c r="D198" s="19" t="s">
        <v>103</v>
      </c>
      <c r="E198" s="19" t="s">
        <v>131</v>
      </c>
      <c r="F198" s="19" t="s">
        <v>282</v>
      </c>
      <c r="G198" s="20" t="n">
        <v>2</v>
      </c>
      <c r="H198" s="20" t="n">
        <v>10</v>
      </c>
      <c r="I198" s="20" t="n">
        <v>1</v>
      </c>
      <c r="J198" s="20" t="n">
        <v>58</v>
      </c>
      <c r="K198" s="21" t="n">
        <f aca="false">G198/H198</f>
        <v>0.2</v>
      </c>
      <c r="L198" s="21" t="n">
        <f aca="false">I198/J198</f>
        <v>0.0172413793103448</v>
      </c>
      <c r="M198" s="20" t="n">
        <v>1.1</v>
      </c>
      <c r="N198" s="22" t="s">
        <v>133</v>
      </c>
    </row>
    <row r="199" customFormat="false" ht="64.9" hidden="false" customHeight="false" outlineLevel="0" collapsed="false">
      <c r="A199" s="19" t="s">
        <v>28</v>
      </c>
      <c r="B199" s="19" t="s">
        <v>42</v>
      </c>
      <c r="C199" s="19" t="s">
        <v>43</v>
      </c>
      <c r="D199" s="19" t="s">
        <v>107</v>
      </c>
      <c r="E199" s="19" t="s">
        <v>108</v>
      </c>
      <c r="F199" s="19" t="s">
        <v>283</v>
      </c>
      <c r="G199" s="20" t="n">
        <v>0</v>
      </c>
      <c r="H199" s="20" t="n">
        <v>11</v>
      </c>
      <c r="I199" s="20" t="n">
        <v>0</v>
      </c>
      <c r="J199" s="20" t="n">
        <v>60</v>
      </c>
      <c r="K199" s="21" t="n">
        <f aca="false">G199/H199</f>
        <v>0</v>
      </c>
      <c r="L199" s="21" t="n">
        <f aca="false">I199/J199</f>
        <v>0</v>
      </c>
      <c r="M199" s="20" t="n">
        <v>0.9</v>
      </c>
      <c r="N199" s="22" t="s">
        <v>135</v>
      </c>
    </row>
    <row r="200" customFormat="false" ht="64.9" hidden="false" customHeight="false" outlineLevel="0" collapsed="false">
      <c r="A200" s="19" t="s">
        <v>28</v>
      </c>
      <c r="B200" s="19" t="s">
        <v>42</v>
      </c>
      <c r="C200" s="19" t="s">
        <v>43</v>
      </c>
      <c r="D200" s="19" t="s">
        <v>111</v>
      </c>
      <c r="E200" s="19" t="s">
        <v>112</v>
      </c>
      <c r="F200" s="19" t="s">
        <v>280</v>
      </c>
      <c r="G200" s="20" t="n">
        <v>0</v>
      </c>
      <c r="H200" s="20" t="n">
        <v>8</v>
      </c>
      <c r="I200" s="20" t="n">
        <v>0</v>
      </c>
      <c r="J200" s="20" t="n">
        <v>53</v>
      </c>
      <c r="K200" s="21" t="n">
        <f aca="false">G200/H200</f>
        <v>0</v>
      </c>
      <c r="L200" s="21" t="n">
        <f aca="false">I200/J200</f>
        <v>0</v>
      </c>
      <c r="M200" s="20" t="n">
        <v>1</v>
      </c>
      <c r="N200" s="22" t="s">
        <v>137</v>
      </c>
    </row>
    <row r="201" customFormat="false" ht="64.9" hidden="false" customHeight="false" outlineLevel="0" collapsed="false">
      <c r="A201" s="19" t="s">
        <v>28</v>
      </c>
      <c r="B201" s="19" t="s">
        <v>42</v>
      </c>
      <c r="C201" s="19" t="s">
        <v>43</v>
      </c>
      <c r="D201" s="19" t="s">
        <v>115</v>
      </c>
      <c r="E201" s="19" t="s">
        <v>116</v>
      </c>
      <c r="F201" s="19" t="s">
        <v>268</v>
      </c>
      <c r="G201" s="20" t="n">
        <v>0</v>
      </c>
      <c r="H201" s="20" t="n">
        <v>12</v>
      </c>
      <c r="I201" s="20" t="n">
        <v>0</v>
      </c>
      <c r="J201" s="20" t="n">
        <v>73</v>
      </c>
      <c r="K201" s="21" t="n">
        <f aca="false">G201/H201</f>
        <v>0</v>
      </c>
      <c r="L201" s="21" t="n">
        <f aca="false">I201/J201</f>
        <v>0</v>
      </c>
      <c r="M201" s="20" t="n">
        <v>1.3</v>
      </c>
      <c r="N201" s="22" t="s">
        <v>139</v>
      </c>
    </row>
    <row r="202" customFormat="false" ht="52.2" hidden="false" customHeight="false" outlineLevel="0" collapsed="false">
      <c r="A202" s="19" t="s">
        <v>28</v>
      </c>
      <c r="B202" s="19" t="s">
        <v>44</v>
      </c>
      <c r="C202" s="19" t="s">
        <v>45</v>
      </c>
      <c r="D202" s="19" t="s">
        <v>79</v>
      </c>
      <c r="E202" s="19" t="s">
        <v>80</v>
      </c>
      <c r="F202" s="19" t="s">
        <v>275</v>
      </c>
      <c r="G202" s="20" t="n">
        <v>0</v>
      </c>
      <c r="H202" s="20" t="n">
        <v>6</v>
      </c>
      <c r="I202" s="20" t="n">
        <v>0</v>
      </c>
      <c r="J202" s="20" t="n">
        <v>42</v>
      </c>
      <c r="K202" s="21" t="n">
        <f aca="false">G202/H202</f>
        <v>0</v>
      </c>
      <c r="L202" s="21" t="n">
        <f aca="false">I202/J202</f>
        <v>0</v>
      </c>
      <c r="M202" s="20" t="n">
        <v>0.8</v>
      </c>
      <c r="N202" s="22" t="s">
        <v>141</v>
      </c>
    </row>
    <row r="203" customFormat="false" ht="52.2" hidden="false" customHeight="false" outlineLevel="0" collapsed="false">
      <c r="A203" s="19" t="s">
        <v>28</v>
      </c>
      <c r="B203" s="19" t="s">
        <v>44</v>
      </c>
      <c r="C203" s="19" t="s">
        <v>45</v>
      </c>
      <c r="D203" s="19" t="s">
        <v>83</v>
      </c>
      <c r="E203" s="19" t="s">
        <v>84</v>
      </c>
      <c r="F203" s="19" t="s">
        <v>261</v>
      </c>
      <c r="G203" s="20" t="n">
        <v>0</v>
      </c>
      <c r="H203" s="20" t="n">
        <v>8</v>
      </c>
      <c r="I203" s="20" t="n">
        <v>0</v>
      </c>
      <c r="J203" s="20" t="n">
        <v>53</v>
      </c>
      <c r="K203" s="21" t="n">
        <f aca="false">G203/H203</f>
        <v>0</v>
      </c>
      <c r="L203" s="21" t="n">
        <f aca="false">I203/J203</f>
        <v>0</v>
      </c>
      <c r="M203" s="20" t="n">
        <v>1</v>
      </c>
      <c r="N203" s="22" t="s">
        <v>143</v>
      </c>
    </row>
    <row r="204" customFormat="false" ht="52.2" hidden="false" customHeight="false" outlineLevel="0" collapsed="false">
      <c r="A204" s="19" t="s">
        <v>28</v>
      </c>
      <c r="B204" s="19" t="s">
        <v>44</v>
      </c>
      <c r="C204" s="19" t="s">
        <v>45</v>
      </c>
      <c r="D204" s="19" t="s">
        <v>87</v>
      </c>
      <c r="E204" s="19" t="s">
        <v>88</v>
      </c>
      <c r="F204" s="19" t="s">
        <v>284</v>
      </c>
      <c r="G204" s="20" t="n">
        <v>0</v>
      </c>
      <c r="H204" s="20" t="n">
        <v>8</v>
      </c>
      <c r="I204" s="20" t="n">
        <v>0</v>
      </c>
      <c r="J204" s="20" t="n">
        <v>69</v>
      </c>
      <c r="K204" s="21" t="n">
        <f aca="false">G204/H204</f>
        <v>0</v>
      </c>
      <c r="L204" s="21" t="n">
        <f aca="false">I204/J204</f>
        <v>0</v>
      </c>
      <c r="M204" s="20" t="n">
        <v>1.1</v>
      </c>
      <c r="N204" s="22" t="s">
        <v>145</v>
      </c>
    </row>
    <row r="205" customFormat="false" ht="52.2" hidden="false" customHeight="false" outlineLevel="0" collapsed="false">
      <c r="A205" s="19" t="s">
        <v>28</v>
      </c>
      <c r="B205" s="19" t="s">
        <v>44</v>
      </c>
      <c r="C205" s="19" t="s">
        <v>45</v>
      </c>
      <c r="D205" s="19" t="s">
        <v>91</v>
      </c>
      <c r="E205" s="19" t="s">
        <v>92</v>
      </c>
      <c r="F205" s="19" t="s">
        <v>190</v>
      </c>
      <c r="G205" s="20" t="n">
        <v>0</v>
      </c>
      <c r="H205" s="20" t="n">
        <v>10</v>
      </c>
      <c r="I205" s="20" t="n">
        <v>0</v>
      </c>
      <c r="J205" s="20" t="n">
        <v>55</v>
      </c>
      <c r="K205" s="21" t="n">
        <f aca="false">G205/H205</f>
        <v>0</v>
      </c>
      <c r="L205" s="21" t="n">
        <f aca="false">I205/J205</f>
        <v>0</v>
      </c>
      <c r="M205" s="20" t="n">
        <v>1</v>
      </c>
      <c r="N205" s="22" t="s">
        <v>147</v>
      </c>
    </row>
    <row r="206" customFormat="false" ht="52.2" hidden="false" customHeight="false" outlineLevel="0" collapsed="false">
      <c r="A206" s="19" t="s">
        <v>28</v>
      </c>
      <c r="B206" s="19" t="s">
        <v>44</v>
      </c>
      <c r="C206" s="19" t="s">
        <v>45</v>
      </c>
      <c r="D206" s="19" t="s">
        <v>95</v>
      </c>
      <c r="E206" s="19" t="s">
        <v>96</v>
      </c>
      <c r="F206" s="19" t="s">
        <v>285</v>
      </c>
      <c r="G206" s="20" t="n">
        <v>1</v>
      </c>
      <c r="H206" s="20" t="n">
        <v>9</v>
      </c>
      <c r="I206" s="20" t="n">
        <v>2</v>
      </c>
      <c r="J206" s="20" t="n">
        <v>44</v>
      </c>
      <c r="K206" s="21" t="n">
        <f aca="false">G206/H206</f>
        <v>0.111111111111111</v>
      </c>
      <c r="L206" s="21" t="n">
        <f aca="false">I206/J206</f>
        <v>0.0454545454545455</v>
      </c>
      <c r="M206" s="20" t="n">
        <v>0.9</v>
      </c>
      <c r="N206" s="22" t="s">
        <v>149</v>
      </c>
    </row>
    <row r="207" customFormat="false" ht="52.2" hidden="false" customHeight="false" outlineLevel="0" collapsed="false">
      <c r="A207" s="19" t="s">
        <v>28</v>
      </c>
      <c r="B207" s="19" t="s">
        <v>44</v>
      </c>
      <c r="C207" s="19" t="s">
        <v>45</v>
      </c>
      <c r="D207" s="19" t="s">
        <v>99</v>
      </c>
      <c r="E207" s="19" t="s">
        <v>100</v>
      </c>
      <c r="F207" s="19" t="s">
        <v>264</v>
      </c>
      <c r="G207" s="20" t="n">
        <v>0</v>
      </c>
      <c r="H207" s="20" t="n">
        <v>6</v>
      </c>
      <c r="I207" s="20" t="n">
        <v>0</v>
      </c>
      <c r="J207" s="20" t="n">
        <v>35</v>
      </c>
      <c r="K207" s="21" t="n">
        <f aca="false">G207/H207</f>
        <v>0</v>
      </c>
      <c r="L207" s="21" t="n">
        <f aca="false">I207/J207</f>
        <v>0</v>
      </c>
      <c r="M207" s="20" t="n">
        <v>0.7</v>
      </c>
      <c r="N207" s="22" t="s">
        <v>151</v>
      </c>
    </row>
    <row r="208" customFormat="false" ht="52.2" hidden="false" customHeight="false" outlineLevel="0" collapsed="false">
      <c r="A208" s="19" t="s">
        <v>28</v>
      </c>
      <c r="B208" s="19" t="s">
        <v>44</v>
      </c>
      <c r="C208" s="19" t="s">
        <v>45</v>
      </c>
      <c r="D208" s="19" t="s">
        <v>103</v>
      </c>
      <c r="E208" s="19" t="s">
        <v>131</v>
      </c>
      <c r="F208" s="19" t="s">
        <v>286</v>
      </c>
      <c r="G208" s="20" t="n">
        <v>4</v>
      </c>
      <c r="H208" s="20" t="n">
        <v>10</v>
      </c>
      <c r="I208" s="20" t="n">
        <v>2</v>
      </c>
      <c r="J208" s="20" t="n">
        <v>58</v>
      </c>
      <c r="K208" s="21" t="n">
        <f aca="false">G208/H208</f>
        <v>0.4</v>
      </c>
      <c r="L208" s="21" t="n">
        <f aca="false">I208/J208</f>
        <v>0.0344827586206897</v>
      </c>
      <c r="M208" s="20" t="n">
        <v>1.1</v>
      </c>
      <c r="N208" s="22" t="s">
        <v>153</v>
      </c>
    </row>
    <row r="209" customFormat="false" ht="52.2" hidden="false" customHeight="false" outlineLevel="0" collapsed="false">
      <c r="A209" s="19" t="s">
        <v>28</v>
      </c>
      <c r="B209" s="19" t="s">
        <v>44</v>
      </c>
      <c r="C209" s="19" t="s">
        <v>45</v>
      </c>
      <c r="D209" s="19" t="s">
        <v>107</v>
      </c>
      <c r="E209" s="19" t="s">
        <v>108</v>
      </c>
      <c r="F209" s="19" t="s">
        <v>287</v>
      </c>
      <c r="G209" s="20" t="n">
        <v>5</v>
      </c>
      <c r="H209" s="20" t="n">
        <v>11</v>
      </c>
      <c r="I209" s="20" t="n">
        <v>13</v>
      </c>
      <c r="J209" s="20" t="n">
        <v>60</v>
      </c>
      <c r="K209" s="21" t="n">
        <f aca="false">G209/H209</f>
        <v>0.454545454545455</v>
      </c>
      <c r="L209" s="21" t="n">
        <f aca="false">I209/J209</f>
        <v>0.216666666666667</v>
      </c>
      <c r="M209" s="20" t="n">
        <v>0.9</v>
      </c>
      <c r="N209" s="22" t="s">
        <v>155</v>
      </c>
    </row>
    <row r="210" customFormat="false" ht="52.2" hidden="false" customHeight="false" outlineLevel="0" collapsed="false">
      <c r="A210" s="19" t="s">
        <v>28</v>
      </c>
      <c r="B210" s="19" t="s">
        <v>44</v>
      </c>
      <c r="C210" s="19" t="s">
        <v>45</v>
      </c>
      <c r="D210" s="19" t="s">
        <v>111</v>
      </c>
      <c r="E210" s="19" t="s">
        <v>112</v>
      </c>
      <c r="F210" s="19" t="s">
        <v>288</v>
      </c>
      <c r="G210" s="20" t="n">
        <v>1</v>
      </c>
      <c r="H210" s="20" t="n">
        <v>8</v>
      </c>
      <c r="I210" s="20" t="n">
        <v>1</v>
      </c>
      <c r="J210" s="20" t="n">
        <v>53</v>
      </c>
      <c r="K210" s="21" t="n">
        <f aca="false">G210/H210</f>
        <v>0.125</v>
      </c>
      <c r="L210" s="21" t="n">
        <f aca="false">I210/J210</f>
        <v>0.0188679245283019</v>
      </c>
      <c r="M210" s="20" t="n">
        <v>1</v>
      </c>
      <c r="N210" s="22" t="s">
        <v>157</v>
      </c>
    </row>
    <row r="211" customFormat="false" ht="52.2" hidden="false" customHeight="false" outlineLevel="0" collapsed="false">
      <c r="A211" s="19" t="s">
        <v>28</v>
      </c>
      <c r="B211" s="19" t="s">
        <v>44</v>
      </c>
      <c r="C211" s="19" t="s">
        <v>45</v>
      </c>
      <c r="D211" s="19" t="s">
        <v>115</v>
      </c>
      <c r="E211" s="19" t="s">
        <v>116</v>
      </c>
      <c r="F211" s="19" t="s">
        <v>268</v>
      </c>
      <c r="G211" s="20" t="n">
        <v>0</v>
      </c>
      <c r="H211" s="20" t="n">
        <v>12</v>
      </c>
      <c r="I211" s="20" t="n">
        <v>0</v>
      </c>
      <c r="J211" s="20" t="n">
        <v>73</v>
      </c>
      <c r="K211" s="21" t="n">
        <f aca="false">G211/H211</f>
        <v>0</v>
      </c>
      <c r="L211" s="21" t="n">
        <f aca="false">I211/J211</f>
        <v>0</v>
      </c>
      <c r="M211" s="20" t="n">
        <v>1.3</v>
      </c>
      <c r="N211" s="22" t="s">
        <v>159</v>
      </c>
    </row>
    <row r="212" customFormat="false" ht="52.2" hidden="false" customHeight="false" outlineLevel="0" collapsed="false">
      <c r="A212" s="19" t="s">
        <v>31</v>
      </c>
      <c r="B212" s="19" t="s">
        <v>40</v>
      </c>
      <c r="C212" s="19" t="s">
        <v>41</v>
      </c>
      <c r="D212" s="19" t="s">
        <v>79</v>
      </c>
      <c r="E212" s="19" t="s">
        <v>80</v>
      </c>
      <c r="F212" s="19" t="s">
        <v>275</v>
      </c>
      <c r="G212" s="20" t="n">
        <v>0</v>
      </c>
      <c r="H212" s="20" t="n">
        <v>6</v>
      </c>
      <c r="I212" s="20" t="n">
        <v>0</v>
      </c>
      <c r="J212" s="20" t="n">
        <v>42</v>
      </c>
      <c r="K212" s="21" t="n">
        <f aca="false">G212/H212</f>
        <v>0</v>
      </c>
      <c r="L212" s="21" t="n">
        <f aca="false">I212/J212</f>
        <v>0</v>
      </c>
      <c r="M212" s="20" t="n">
        <v>1.3</v>
      </c>
      <c r="N212" s="22" t="s">
        <v>82</v>
      </c>
    </row>
    <row r="213" customFormat="false" ht="52.2" hidden="false" customHeight="false" outlineLevel="0" collapsed="false">
      <c r="A213" s="19" t="s">
        <v>31</v>
      </c>
      <c r="B213" s="19" t="s">
        <v>40</v>
      </c>
      <c r="C213" s="19" t="s">
        <v>41</v>
      </c>
      <c r="D213" s="19" t="s">
        <v>83</v>
      </c>
      <c r="E213" s="19" t="s">
        <v>84</v>
      </c>
      <c r="F213" s="19" t="s">
        <v>261</v>
      </c>
      <c r="G213" s="20" t="n">
        <v>0</v>
      </c>
      <c r="H213" s="20" t="n">
        <v>8</v>
      </c>
      <c r="I213" s="20" t="n">
        <v>0</v>
      </c>
      <c r="J213" s="20" t="n">
        <v>53</v>
      </c>
      <c r="K213" s="21" t="n">
        <f aca="false">G213/H213</f>
        <v>0</v>
      </c>
      <c r="L213" s="21" t="n">
        <f aca="false">I213/J213</f>
        <v>0</v>
      </c>
      <c r="M213" s="20" t="n">
        <v>0.9</v>
      </c>
      <c r="N213" s="22" t="s">
        <v>86</v>
      </c>
    </row>
    <row r="214" customFormat="false" ht="52.2" hidden="false" customHeight="false" outlineLevel="0" collapsed="false">
      <c r="A214" s="19" t="s">
        <v>31</v>
      </c>
      <c r="B214" s="19" t="s">
        <v>40</v>
      </c>
      <c r="C214" s="19" t="s">
        <v>41</v>
      </c>
      <c r="D214" s="19" t="s">
        <v>87</v>
      </c>
      <c r="E214" s="19" t="s">
        <v>88</v>
      </c>
      <c r="F214" s="19" t="s">
        <v>289</v>
      </c>
      <c r="G214" s="20" t="n">
        <v>2</v>
      </c>
      <c r="H214" s="20" t="n">
        <v>8</v>
      </c>
      <c r="I214" s="20" t="n">
        <v>12</v>
      </c>
      <c r="J214" s="20" t="n">
        <v>69</v>
      </c>
      <c r="K214" s="21" t="n">
        <f aca="false">G214/H214</f>
        <v>0.25</v>
      </c>
      <c r="L214" s="21" t="n">
        <f aca="false">I214/J214</f>
        <v>0.173913043478261</v>
      </c>
      <c r="M214" s="20" t="n">
        <v>1</v>
      </c>
      <c r="N214" s="22" t="s">
        <v>90</v>
      </c>
    </row>
    <row r="215" customFormat="false" ht="52.2" hidden="false" customHeight="false" outlineLevel="0" collapsed="false">
      <c r="A215" s="19" t="s">
        <v>31</v>
      </c>
      <c r="B215" s="19" t="s">
        <v>40</v>
      </c>
      <c r="C215" s="19" t="s">
        <v>41</v>
      </c>
      <c r="D215" s="19" t="s">
        <v>91</v>
      </c>
      <c r="E215" s="19" t="s">
        <v>92</v>
      </c>
      <c r="F215" s="19" t="s">
        <v>190</v>
      </c>
      <c r="G215" s="20" t="n">
        <v>0</v>
      </c>
      <c r="H215" s="20" t="n">
        <v>10</v>
      </c>
      <c r="I215" s="20" t="n">
        <v>0</v>
      </c>
      <c r="J215" s="20" t="n">
        <v>55</v>
      </c>
      <c r="K215" s="21" t="n">
        <f aca="false">G215/H215</f>
        <v>0</v>
      </c>
      <c r="L215" s="21" t="n">
        <f aca="false">I215/J215</f>
        <v>0</v>
      </c>
      <c r="M215" s="20" t="n">
        <v>1</v>
      </c>
      <c r="N215" s="22" t="s">
        <v>94</v>
      </c>
    </row>
    <row r="216" customFormat="false" ht="52.2" hidden="false" customHeight="false" outlineLevel="0" collapsed="false">
      <c r="A216" s="19" t="s">
        <v>31</v>
      </c>
      <c r="B216" s="19" t="s">
        <v>40</v>
      </c>
      <c r="C216" s="19" t="s">
        <v>41</v>
      </c>
      <c r="D216" s="19" t="s">
        <v>95</v>
      </c>
      <c r="E216" s="19" t="s">
        <v>96</v>
      </c>
      <c r="F216" s="19" t="s">
        <v>290</v>
      </c>
      <c r="G216" s="20" t="n">
        <v>2</v>
      </c>
      <c r="H216" s="20" t="n">
        <v>9</v>
      </c>
      <c r="I216" s="20" t="n">
        <v>4</v>
      </c>
      <c r="J216" s="20" t="n">
        <v>44</v>
      </c>
      <c r="K216" s="21" t="n">
        <f aca="false">G216/H216</f>
        <v>0.222222222222222</v>
      </c>
      <c r="L216" s="21" t="n">
        <f aca="false">I216/J216</f>
        <v>0.0909090909090909</v>
      </c>
      <c r="M216" s="20" t="n">
        <v>0.8</v>
      </c>
      <c r="N216" s="22" t="s">
        <v>98</v>
      </c>
    </row>
    <row r="217" customFormat="false" ht="52.2" hidden="false" customHeight="false" outlineLevel="0" collapsed="false">
      <c r="A217" s="19" t="s">
        <v>31</v>
      </c>
      <c r="B217" s="19" t="s">
        <v>40</v>
      </c>
      <c r="C217" s="19" t="s">
        <v>41</v>
      </c>
      <c r="D217" s="19" t="s">
        <v>99</v>
      </c>
      <c r="E217" s="19" t="s">
        <v>100</v>
      </c>
      <c r="F217" s="19" t="s">
        <v>264</v>
      </c>
      <c r="G217" s="20" t="n">
        <v>0</v>
      </c>
      <c r="H217" s="20" t="n">
        <v>6</v>
      </c>
      <c r="I217" s="20" t="n">
        <v>0</v>
      </c>
      <c r="J217" s="20" t="n">
        <v>35</v>
      </c>
      <c r="K217" s="21" t="n">
        <f aca="false">G217/H217</f>
        <v>0</v>
      </c>
      <c r="L217" s="21" t="n">
        <f aca="false">I217/J217</f>
        <v>0</v>
      </c>
      <c r="M217" s="20" t="n">
        <v>0.6</v>
      </c>
      <c r="N217" s="22" t="s">
        <v>102</v>
      </c>
    </row>
    <row r="218" customFormat="false" ht="52.2" hidden="false" customHeight="false" outlineLevel="0" collapsed="false">
      <c r="A218" s="19" t="s">
        <v>31</v>
      </c>
      <c r="B218" s="19" t="s">
        <v>40</v>
      </c>
      <c r="C218" s="19" t="s">
        <v>41</v>
      </c>
      <c r="D218" s="19" t="s">
        <v>103</v>
      </c>
      <c r="E218" s="19" t="s">
        <v>104</v>
      </c>
      <c r="F218" s="19" t="s">
        <v>291</v>
      </c>
      <c r="G218" s="20" t="n">
        <v>6</v>
      </c>
      <c r="H218" s="20" t="n">
        <v>13</v>
      </c>
      <c r="I218" s="20" t="n">
        <v>6</v>
      </c>
      <c r="J218" s="20" t="n">
        <v>67</v>
      </c>
      <c r="K218" s="21" t="n">
        <f aca="false">G218/H218</f>
        <v>0.461538461538462</v>
      </c>
      <c r="L218" s="21" t="n">
        <f aca="false">I218/J218</f>
        <v>0.0895522388059701</v>
      </c>
      <c r="M218" s="20" t="n">
        <v>1.1</v>
      </c>
      <c r="N218" s="22" t="s">
        <v>106</v>
      </c>
    </row>
    <row r="219" customFormat="false" ht="52.2" hidden="false" customHeight="false" outlineLevel="0" collapsed="false">
      <c r="A219" s="19" t="s">
        <v>31</v>
      </c>
      <c r="B219" s="19" t="s">
        <v>40</v>
      </c>
      <c r="C219" s="19" t="s">
        <v>41</v>
      </c>
      <c r="D219" s="19" t="s">
        <v>107</v>
      </c>
      <c r="E219" s="19" t="s">
        <v>108</v>
      </c>
      <c r="F219" s="19" t="s">
        <v>292</v>
      </c>
      <c r="G219" s="20" t="n">
        <v>3</v>
      </c>
      <c r="H219" s="20" t="n">
        <v>11</v>
      </c>
      <c r="I219" s="20" t="n">
        <v>2</v>
      </c>
      <c r="J219" s="20" t="n">
        <v>60</v>
      </c>
      <c r="K219" s="21" t="n">
        <f aca="false">G219/H219</f>
        <v>0.272727272727273</v>
      </c>
      <c r="L219" s="21" t="n">
        <f aca="false">I219/J219</f>
        <v>0.0333333333333333</v>
      </c>
      <c r="M219" s="20" t="n">
        <v>1.1</v>
      </c>
      <c r="N219" s="22" t="s">
        <v>110</v>
      </c>
    </row>
    <row r="220" customFormat="false" ht="52.2" hidden="false" customHeight="false" outlineLevel="0" collapsed="false">
      <c r="A220" s="19" t="s">
        <v>31</v>
      </c>
      <c r="B220" s="19" t="s">
        <v>40</v>
      </c>
      <c r="C220" s="19" t="s">
        <v>41</v>
      </c>
      <c r="D220" s="19" t="s">
        <v>111</v>
      </c>
      <c r="E220" s="19" t="s">
        <v>112</v>
      </c>
      <c r="F220" s="19" t="s">
        <v>293</v>
      </c>
      <c r="G220" s="20" t="n">
        <v>1</v>
      </c>
      <c r="H220" s="20" t="n">
        <v>8</v>
      </c>
      <c r="I220" s="20" t="n">
        <v>1</v>
      </c>
      <c r="J220" s="20" t="n">
        <v>53</v>
      </c>
      <c r="K220" s="21" t="n">
        <f aca="false">G220/H220</f>
        <v>0.125</v>
      </c>
      <c r="L220" s="21" t="n">
        <f aca="false">I220/J220</f>
        <v>0.0188679245283019</v>
      </c>
      <c r="M220" s="20" t="n">
        <v>0.9</v>
      </c>
      <c r="N220" s="22" t="s">
        <v>114</v>
      </c>
    </row>
    <row r="221" customFormat="false" ht="52.2" hidden="false" customHeight="false" outlineLevel="0" collapsed="false">
      <c r="A221" s="19" t="s">
        <v>31</v>
      </c>
      <c r="B221" s="19" t="s">
        <v>40</v>
      </c>
      <c r="C221" s="19" t="s">
        <v>41</v>
      </c>
      <c r="D221" s="19" t="s">
        <v>115</v>
      </c>
      <c r="E221" s="19" t="s">
        <v>116</v>
      </c>
      <c r="F221" s="19" t="s">
        <v>260</v>
      </c>
      <c r="G221" s="20" t="n">
        <v>1</v>
      </c>
      <c r="H221" s="20" t="n">
        <v>12</v>
      </c>
      <c r="I221" s="20" t="n">
        <v>1</v>
      </c>
      <c r="J221" s="20" t="n">
        <v>73</v>
      </c>
      <c r="K221" s="21" t="n">
        <f aca="false">G221/H221</f>
        <v>0.0833333333333333</v>
      </c>
      <c r="L221" s="21" t="n">
        <f aca="false">I221/J221</f>
        <v>0.0136986301369863</v>
      </c>
      <c r="M221" s="20" t="n">
        <v>1.2</v>
      </c>
      <c r="N221" s="22" t="s">
        <v>118</v>
      </c>
    </row>
    <row r="222" customFormat="false" ht="64.9" hidden="false" customHeight="false" outlineLevel="0" collapsed="false">
      <c r="A222" s="19" t="s">
        <v>31</v>
      </c>
      <c r="B222" s="19" t="s">
        <v>42</v>
      </c>
      <c r="C222" s="19" t="s">
        <v>43</v>
      </c>
      <c r="D222" s="19" t="s">
        <v>79</v>
      </c>
      <c r="E222" s="19" t="s">
        <v>80</v>
      </c>
      <c r="F222" s="19" t="s">
        <v>294</v>
      </c>
      <c r="G222" s="20" t="n">
        <v>2</v>
      </c>
      <c r="H222" s="20" t="n">
        <v>6</v>
      </c>
      <c r="I222" s="20" t="n">
        <v>2</v>
      </c>
      <c r="J222" s="20" t="n">
        <v>42</v>
      </c>
      <c r="K222" s="21" t="n">
        <f aca="false">G222/H222</f>
        <v>0.333333333333333</v>
      </c>
      <c r="L222" s="21" t="n">
        <f aca="false">I222/J222</f>
        <v>0.0476190476190476</v>
      </c>
      <c r="M222" s="20" t="n">
        <v>0.7</v>
      </c>
      <c r="N222" s="22" t="s">
        <v>120</v>
      </c>
    </row>
    <row r="223" customFormat="false" ht="64.9" hidden="false" customHeight="false" outlineLevel="0" collapsed="false">
      <c r="A223" s="19" t="s">
        <v>31</v>
      </c>
      <c r="B223" s="19" t="s">
        <v>42</v>
      </c>
      <c r="C223" s="19" t="s">
        <v>43</v>
      </c>
      <c r="D223" s="19" t="s">
        <v>83</v>
      </c>
      <c r="E223" s="19" t="s">
        <v>84</v>
      </c>
      <c r="F223" s="19" t="s">
        <v>261</v>
      </c>
      <c r="G223" s="20" t="n">
        <v>0</v>
      </c>
      <c r="H223" s="20" t="n">
        <v>8</v>
      </c>
      <c r="I223" s="20" t="n">
        <v>0</v>
      </c>
      <c r="J223" s="20" t="n">
        <v>53</v>
      </c>
      <c r="K223" s="21" t="n">
        <f aca="false">G223/H223</f>
        <v>0</v>
      </c>
      <c r="L223" s="21" t="n">
        <f aca="false">I223/J223</f>
        <v>0</v>
      </c>
      <c r="M223" s="20" t="n">
        <v>0.9</v>
      </c>
      <c r="N223" s="22" t="s">
        <v>122</v>
      </c>
    </row>
    <row r="224" customFormat="false" ht="64.9" hidden="false" customHeight="false" outlineLevel="0" collapsed="false">
      <c r="A224" s="19" t="s">
        <v>31</v>
      </c>
      <c r="B224" s="19" t="s">
        <v>42</v>
      </c>
      <c r="C224" s="19" t="s">
        <v>43</v>
      </c>
      <c r="D224" s="19" t="s">
        <v>87</v>
      </c>
      <c r="E224" s="19" t="s">
        <v>88</v>
      </c>
      <c r="F224" s="19" t="s">
        <v>270</v>
      </c>
      <c r="G224" s="20" t="n">
        <v>0</v>
      </c>
      <c r="H224" s="20" t="n">
        <v>8</v>
      </c>
      <c r="I224" s="20" t="n">
        <v>0</v>
      </c>
      <c r="J224" s="20" t="n">
        <v>69</v>
      </c>
      <c r="K224" s="21" t="n">
        <f aca="false">G224/H224</f>
        <v>0</v>
      </c>
      <c r="L224" s="21" t="n">
        <f aca="false">I224/J224</f>
        <v>0</v>
      </c>
      <c r="M224" s="20" t="n">
        <v>1.2</v>
      </c>
      <c r="N224" s="22" t="s">
        <v>124</v>
      </c>
    </row>
    <row r="225" customFormat="false" ht="64.9" hidden="false" customHeight="false" outlineLevel="0" collapsed="false">
      <c r="A225" s="19" t="s">
        <v>31</v>
      </c>
      <c r="B225" s="19" t="s">
        <v>42</v>
      </c>
      <c r="C225" s="19" t="s">
        <v>43</v>
      </c>
      <c r="D225" s="19" t="s">
        <v>91</v>
      </c>
      <c r="E225" s="19" t="s">
        <v>92</v>
      </c>
      <c r="F225" s="19" t="s">
        <v>190</v>
      </c>
      <c r="G225" s="20" t="n">
        <v>0</v>
      </c>
      <c r="H225" s="20" t="n">
        <v>10</v>
      </c>
      <c r="I225" s="20" t="n">
        <v>0</v>
      </c>
      <c r="J225" s="20" t="n">
        <v>55</v>
      </c>
      <c r="K225" s="21" t="n">
        <f aca="false">G225/H225</f>
        <v>0</v>
      </c>
      <c r="L225" s="21" t="n">
        <f aca="false">I225/J225</f>
        <v>0</v>
      </c>
      <c r="M225" s="20" t="n">
        <v>1</v>
      </c>
      <c r="N225" s="22" t="s">
        <v>126</v>
      </c>
    </row>
    <row r="226" customFormat="false" ht="64.9" hidden="false" customHeight="false" outlineLevel="0" collapsed="false">
      <c r="A226" s="19" t="s">
        <v>31</v>
      </c>
      <c r="B226" s="19" t="s">
        <v>42</v>
      </c>
      <c r="C226" s="19" t="s">
        <v>43</v>
      </c>
      <c r="D226" s="19" t="s">
        <v>95</v>
      </c>
      <c r="E226" s="19" t="s">
        <v>96</v>
      </c>
      <c r="F226" s="19" t="s">
        <v>295</v>
      </c>
      <c r="G226" s="20" t="n">
        <v>2</v>
      </c>
      <c r="H226" s="20" t="n">
        <v>9</v>
      </c>
      <c r="I226" s="20" t="n">
        <v>2</v>
      </c>
      <c r="J226" s="20" t="n">
        <v>44</v>
      </c>
      <c r="K226" s="21" t="n">
        <f aca="false">G226/H226</f>
        <v>0.222222222222222</v>
      </c>
      <c r="L226" s="21" t="n">
        <f aca="false">I226/J226</f>
        <v>0.0454545454545455</v>
      </c>
      <c r="M226" s="20" t="n">
        <v>0.8</v>
      </c>
      <c r="N226" s="22" t="s">
        <v>128</v>
      </c>
    </row>
    <row r="227" customFormat="false" ht="64.9" hidden="false" customHeight="false" outlineLevel="0" collapsed="false">
      <c r="A227" s="19" t="s">
        <v>31</v>
      </c>
      <c r="B227" s="19" t="s">
        <v>42</v>
      </c>
      <c r="C227" s="19" t="s">
        <v>43</v>
      </c>
      <c r="D227" s="19" t="s">
        <v>99</v>
      </c>
      <c r="E227" s="19" t="s">
        <v>100</v>
      </c>
      <c r="F227" s="19" t="s">
        <v>264</v>
      </c>
      <c r="G227" s="20" t="n">
        <v>0</v>
      </c>
      <c r="H227" s="20" t="n">
        <v>6</v>
      </c>
      <c r="I227" s="20" t="n">
        <v>0</v>
      </c>
      <c r="J227" s="20" t="n">
        <v>35</v>
      </c>
      <c r="K227" s="21" t="n">
        <f aca="false">G227/H227</f>
        <v>0</v>
      </c>
      <c r="L227" s="21" t="n">
        <f aca="false">I227/J227</f>
        <v>0</v>
      </c>
      <c r="M227" s="20" t="n">
        <v>0.7</v>
      </c>
      <c r="N227" s="22" t="s">
        <v>130</v>
      </c>
    </row>
    <row r="228" customFormat="false" ht="64.9" hidden="false" customHeight="false" outlineLevel="0" collapsed="false">
      <c r="A228" s="19" t="s">
        <v>31</v>
      </c>
      <c r="B228" s="19" t="s">
        <v>42</v>
      </c>
      <c r="C228" s="19" t="s">
        <v>43</v>
      </c>
      <c r="D228" s="19" t="s">
        <v>103</v>
      </c>
      <c r="E228" s="19" t="s">
        <v>131</v>
      </c>
      <c r="F228" s="19" t="s">
        <v>265</v>
      </c>
      <c r="G228" s="20" t="n">
        <v>0</v>
      </c>
      <c r="H228" s="20" t="n">
        <v>10</v>
      </c>
      <c r="I228" s="20" t="n">
        <v>0</v>
      </c>
      <c r="J228" s="20" t="n">
        <v>58</v>
      </c>
      <c r="K228" s="21" t="n">
        <f aca="false">G228/H228</f>
        <v>0</v>
      </c>
      <c r="L228" s="21" t="n">
        <f aca="false">I228/J228</f>
        <v>0</v>
      </c>
      <c r="M228" s="20" t="n">
        <v>1</v>
      </c>
      <c r="N228" s="22" t="s">
        <v>133</v>
      </c>
    </row>
    <row r="229" customFormat="false" ht="64.9" hidden="false" customHeight="false" outlineLevel="0" collapsed="false">
      <c r="A229" s="19" t="s">
        <v>31</v>
      </c>
      <c r="B229" s="19" t="s">
        <v>42</v>
      </c>
      <c r="C229" s="19" t="s">
        <v>43</v>
      </c>
      <c r="D229" s="19" t="s">
        <v>107</v>
      </c>
      <c r="E229" s="19" t="s">
        <v>108</v>
      </c>
      <c r="F229" s="19" t="s">
        <v>279</v>
      </c>
      <c r="G229" s="20" t="n">
        <v>0</v>
      </c>
      <c r="H229" s="20" t="n">
        <v>11</v>
      </c>
      <c r="I229" s="20" t="n">
        <v>0</v>
      </c>
      <c r="J229" s="20" t="n">
        <v>60</v>
      </c>
      <c r="K229" s="21" t="n">
        <f aca="false">G229/H229</f>
        <v>0</v>
      </c>
      <c r="L229" s="21" t="n">
        <f aca="false">I229/J229</f>
        <v>0</v>
      </c>
      <c r="M229" s="20" t="n">
        <v>1.1</v>
      </c>
      <c r="N229" s="22" t="s">
        <v>135</v>
      </c>
    </row>
    <row r="230" customFormat="false" ht="64.9" hidden="false" customHeight="false" outlineLevel="0" collapsed="false">
      <c r="A230" s="19" t="s">
        <v>31</v>
      </c>
      <c r="B230" s="19" t="s">
        <v>42</v>
      </c>
      <c r="C230" s="19" t="s">
        <v>43</v>
      </c>
      <c r="D230" s="19" t="s">
        <v>111</v>
      </c>
      <c r="E230" s="19" t="s">
        <v>112</v>
      </c>
      <c r="F230" s="19" t="s">
        <v>296</v>
      </c>
      <c r="G230" s="20" t="n">
        <v>1</v>
      </c>
      <c r="H230" s="20" t="n">
        <v>8</v>
      </c>
      <c r="I230" s="20" t="n">
        <v>1</v>
      </c>
      <c r="J230" s="20" t="n">
        <v>53</v>
      </c>
      <c r="K230" s="21" t="n">
        <f aca="false">G230/H230</f>
        <v>0.125</v>
      </c>
      <c r="L230" s="21" t="n">
        <f aca="false">I230/J230</f>
        <v>0.0188679245283019</v>
      </c>
      <c r="M230" s="20" t="n">
        <v>0.9</v>
      </c>
      <c r="N230" s="22" t="s">
        <v>137</v>
      </c>
    </row>
    <row r="231" customFormat="false" ht="64.9" hidden="false" customHeight="false" outlineLevel="0" collapsed="false">
      <c r="A231" s="19" t="s">
        <v>31</v>
      </c>
      <c r="B231" s="19" t="s">
        <v>42</v>
      </c>
      <c r="C231" s="19" t="s">
        <v>43</v>
      </c>
      <c r="D231" s="19" t="s">
        <v>115</v>
      </c>
      <c r="E231" s="19" t="s">
        <v>116</v>
      </c>
      <c r="F231" s="19" t="s">
        <v>268</v>
      </c>
      <c r="G231" s="20" t="n">
        <v>0</v>
      </c>
      <c r="H231" s="20" t="n">
        <v>12</v>
      </c>
      <c r="I231" s="20" t="n">
        <v>0</v>
      </c>
      <c r="J231" s="20" t="n">
        <v>73</v>
      </c>
      <c r="K231" s="21" t="n">
        <f aca="false">G231/H231</f>
        <v>0</v>
      </c>
      <c r="L231" s="21" t="n">
        <f aca="false">I231/J231</f>
        <v>0</v>
      </c>
      <c r="M231" s="20" t="n">
        <v>1.2</v>
      </c>
      <c r="N231" s="22" t="s">
        <v>139</v>
      </c>
    </row>
    <row r="232" customFormat="false" ht="52.2" hidden="false" customHeight="false" outlineLevel="0" collapsed="false">
      <c r="A232" s="19" t="s">
        <v>31</v>
      </c>
      <c r="B232" s="19" t="s">
        <v>44</v>
      </c>
      <c r="C232" s="19" t="s">
        <v>45</v>
      </c>
      <c r="D232" s="19" t="s">
        <v>79</v>
      </c>
      <c r="E232" s="19" t="s">
        <v>80</v>
      </c>
      <c r="F232" s="19" t="s">
        <v>275</v>
      </c>
      <c r="G232" s="20" t="n">
        <v>0</v>
      </c>
      <c r="H232" s="20" t="n">
        <v>6</v>
      </c>
      <c r="I232" s="20" t="n">
        <v>0</v>
      </c>
      <c r="J232" s="20" t="n">
        <v>42</v>
      </c>
      <c r="K232" s="21" t="n">
        <f aca="false">G232/H232</f>
        <v>0</v>
      </c>
      <c r="L232" s="21" t="n">
        <f aca="false">I232/J232</f>
        <v>0</v>
      </c>
      <c r="M232" s="20" t="n">
        <v>0.7</v>
      </c>
      <c r="N232" s="22" t="s">
        <v>141</v>
      </c>
    </row>
    <row r="233" customFormat="false" ht="52.2" hidden="false" customHeight="false" outlineLevel="0" collapsed="false">
      <c r="A233" s="19" t="s">
        <v>31</v>
      </c>
      <c r="B233" s="19" t="s">
        <v>44</v>
      </c>
      <c r="C233" s="19" t="s">
        <v>45</v>
      </c>
      <c r="D233" s="19" t="s">
        <v>83</v>
      </c>
      <c r="E233" s="19" t="s">
        <v>84</v>
      </c>
      <c r="F233" s="19" t="s">
        <v>297</v>
      </c>
      <c r="G233" s="20" t="n">
        <v>3</v>
      </c>
      <c r="H233" s="20" t="n">
        <v>8</v>
      </c>
      <c r="I233" s="20" t="n">
        <v>15</v>
      </c>
      <c r="J233" s="20" t="n">
        <v>53</v>
      </c>
      <c r="K233" s="21" t="n">
        <f aca="false">G233/H233</f>
        <v>0.375</v>
      </c>
      <c r="L233" s="21" t="n">
        <f aca="false">I233/J233</f>
        <v>0.283018867924528</v>
      </c>
      <c r="M233" s="20" t="n">
        <v>0.7</v>
      </c>
      <c r="N233" s="22" t="s">
        <v>143</v>
      </c>
    </row>
    <row r="234" customFormat="false" ht="52.2" hidden="false" customHeight="false" outlineLevel="0" collapsed="false">
      <c r="A234" s="19" t="s">
        <v>31</v>
      </c>
      <c r="B234" s="19" t="s">
        <v>44</v>
      </c>
      <c r="C234" s="19" t="s">
        <v>45</v>
      </c>
      <c r="D234" s="19" t="s">
        <v>87</v>
      </c>
      <c r="E234" s="19" t="s">
        <v>88</v>
      </c>
      <c r="F234" s="19" t="s">
        <v>298</v>
      </c>
      <c r="G234" s="20" t="n">
        <v>1</v>
      </c>
      <c r="H234" s="20" t="n">
        <v>8</v>
      </c>
      <c r="I234" s="20" t="n">
        <v>11</v>
      </c>
      <c r="J234" s="20" t="n">
        <v>69</v>
      </c>
      <c r="K234" s="21" t="n">
        <f aca="false">G234/H234</f>
        <v>0.125</v>
      </c>
      <c r="L234" s="21" t="n">
        <f aca="false">I234/J234</f>
        <v>0.159420289855072</v>
      </c>
      <c r="M234" s="20" t="n">
        <v>1</v>
      </c>
      <c r="N234" s="22" t="s">
        <v>145</v>
      </c>
    </row>
    <row r="235" customFormat="false" ht="52.2" hidden="false" customHeight="false" outlineLevel="0" collapsed="false">
      <c r="A235" s="19" t="s">
        <v>31</v>
      </c>
      <c r="B235" s="19" t="s">
        <v>44</v>
      </c>
      <c r="C235" s="19" t="s">
        <v>45</v>
      </c>
      <c r="D235" s="19" t="s">
        <v>91</v>
      </c>
      <c r="E235" s="19" t="s">
        <v>92</v>
      </c>
      <c r="F235" s="19" t="s">
        <v>190</v>
      </c>
      <c r="G235" s="20" t="n">
        <v>0</v>
      </c>
      <c r="H235" s="20" t="n">
        <v>10</v>
      </c>
      <c r="I235" s="20" t="n">
        <v>0</v>
      </c>
      <c r="J235" s="20" t="n">
        <v>55</v>
      </c>
      <c r="K235" s="21" t="n">
        <f aca="false">G235/H235</f>
        <v>0</v>
      </c>
      <c r="L235" s="21" t="n">
        <f aca="false">I235/J235</f>
        <v>0</v>
      </c>
      <c r="M235" s="20" t="n">
        <v>0.9</v>
      </c>
      <c r="N235" s="22" t="s">
        <v>147</v>
      </c>
    </row>
    <row r="236" customFormat="false" ht="52.2" hidden="false" customHeight="false" outlineLevel="0" collapsed="false">
      <c r="A236" s="19" t="s">
        <v>31</v>
      </c>
      <c r="B236" s="19" t="s">
        <v>44</v>
      </c>
      <c r="C236" s="19" t="s">
        <v>45</v>
      </c>
      <c r="D236" s="19" t="s">
        <v>95</v>
      </c>
      <c r="E236" s="19" t="s">
        <v>96</v>
      </c>
      <c r="F236" s="19" t="s">
        <v>299</v>
      </c>
      <c r="G236" s="20" t="n">
        <v>1</v>
      </c>
      <c r="H236" s="20" t="n">
        <v>9</v>
      </c>
      <c r="I236" s="20" t="n">
        <v>1</v>
      </c>
      <c r="J236" s="20" t="n">
        <v>44</v>
      </c>
      <c r="K236" s="21" t="n">
        <f aca="false">G236/H236</f>
        <v>0.111111111111111</v>
      </c>
      <c r="L236" s="21" t="n">
        <f aca="false">I236/J236</f>
        <v>0.0227272727272727</v>
      </c>
      <c r="M236" s="20" t="n">
        <v>0.8</v>
      </c>
      <c r="N236" s="22" t="s">
        <v>149</v>
      </c>
    </row>
    <row r="237" customFormat="false" ht="52.2" hidden="false" customHeight="false" outlineLevel="0" collapsed="false">
      <c r="A237" s="19" t="s">
        <v>31</v>
      </c>
      <c r="B237" s="19" t="s">
        <v>44</v>
      </c>
      <c r="C237" s="19" t="s">
        <v>45</v>
      </c>
      <c r="D237" s="19" t="s">
        <v>99</v>
      </c>
      <c r="E237" s="19" t="s">
        <v>100</v>
      </c>
      <c r="F237" s="19" t="s">
        <v>264</v>
      </c>
      <c r="G237" s="20" t="n">
        <v>0</v>
      </c>
      <c r="H237" s="20" t="n">
        <v>6</v>
      </c>
      <c r="I237" s="20" t="n">
        <v>0</v>
      </c>
      <c r="J237" s="20" t="n">
        <v>35</v>
      </c>
      <c r="K237" s="21" t="n">
        <f aca="false">G237/H237</f>
        <v>0</v>
      </c>
      <c r="L237" s="21" t="n">
        <f aca="false">I237/J237</f>
        <v>0</v>
      </c>
      <c r="M237" s="20" t="n">
        <v>0.6</v>
      </c>
      <c r="N237" s="22" t="s">
        <v>151</v>
      </c>
    </row>
    <row r="238" customFormat="false" ht="52.2" hidden="false" customHeight="false" outlineLevel="0" collapsed="false">
      <c r="A238" s="19" t="s">
        <v>31</v>
      </c>
      <c r="B238" s="19" t="s">
        <v>44</v>
      </c>
      <c r="C238" s="19" t="s">
        <v>45</v>
      </c>
      <c r="D238" s="19" t="s">
        <v>103</v>
      </c>
      <c r="E238" s="19" t="s">
        <v>131</v>
      </c>
      <c r="F238" s="19" t="s">
        <v>300</v>
      </c>
      <c r="G238" s="20" t="n">
        <v>2</v>
      </c>
      <c r="H238" s="20" t="n">
        <v>10</v>
      </c>
      <c r="I238" s="20" t="n">
        <v>1</v>
      </c>
      <c r="J238" s="20" t="n">
        <v>58</v>
      </c>
      <c r="K238" s="21" t="n">
        <f aca="false">G238/H238</f>
        <v>0.2</v>
      </c>
      <c r="L238" s="21" t="n">
        <f aca="false">I238/J238</f>
        <v>0.0172413793103448</v>
      </c>
      <c r="M238" s="20" t="n">
        <v>1</v>
      </c>
      <c r="N238" s="22" t="s">
        <v>153</v>
      </c>
    </row>
    <row r="239" customFormat="false" ht="52.2" hidden="false" customHeight="false" outlineLevel="0" collapsed="false">
      <c r="A239" s="19" t="s">
        <v>31</v>
      </c>
      <c r="B239" s="19" t="s">
        <v>44</v>
      </c>
      <c r="C239" s="19" t="s">
        <v>45</v>
      </c>
      <c r="D239" s="19" t="s">
        <v>107</v>
      </c>
      <c r="E239" s="19" t="s">
        <v>108</v>
      </c>
      <c r="F239" s="19" t="s">
        <v>292</v>
      </c>
      <c r="G239" s="20" t="n">
        <v>3</v>
      </c>
      <c r="H239" s="20" t="n">
        <v>11</v>
      </c>
      <c r="I239" s="20" t="n">
        <v>2</v>
      </c>
      <c r="J239" s="20" t="n">
        <v>60</v>
      </c>
      <c r="K239" s="21" t="n">
        <f aca="false">G239/H239</f>
        <v>0.272727272727273</v>
      </c>
      <c r="L239" s="21" t="n">
        <f aca="false">I239/J239</f>
        <v>0.0333333333333333</v>
      </c>
      <c r="M239" s="20" t="n">
        <v>1</v>
      </c>
      <c r="N239" s="22" t="s">
        <v>155</v>
      </c>
    </row>
    <row r="240" customFormat="false" ht="52.2" hidden="false" customHeight="false" outlineLevel="0" collapsed="false">
      <c r="A240" s="19" t="s">
        <v>31</v>
      </c>
      <c r="B240" s="19" t="s">
        <v>44</v>
      </c>
      <c r="C240" s="19" t="s">
        <v>45</v>
      </c>
      <c r="D240" s="19" t="s">
        <v>111</v>
      </c>
      <c r="E240" s="19" t="s">
        <v>112</v>
      </c>
      <c r="F240" s="19" t="s">
        <v>280</v>
      </c>
      <c r="G240" s="20" t="n">
        <v>0</v>
      </c>
      <c r="H240" s="20" t="n">
        <v>8</v>
      </c>
      <c r="I240" s="20" t="n">
        <v>0</v>
      </c>
      <c r="J240" s="20" t="n">
        <v>53</v>
      </c>
      <c r="K240" s="21" t="n">
        <f aca="false">G240/H240</f>
        <v>0</v>
      </c>
      <c r="L240" s="21" t="n">
        <f aca="false">I240/J240</f>
        <v>0</v>
      </c>
      <c r="M240" s="20" t="n">
        <v>1</v>
      </c>
      <c r="N240" s="22" t="s">
        <v>157</v>
      </c>
    </row>
    <row r="241" customFormat="false" ht="52.2" hidden="false" customHeight="false" outlineLevel="0" collapsed="false">
      <c r="A241" s="19" t="s">
        <v>31</v>
      </c>
      <c r="B241" s="19" t="s">
        <v>44</v>
      </c>
      <c r="C241" s="19" t="s">
        <v>45</v>
      </c>
      <c r="D241" s="19" t="s">
        <v>115</v>
      </c>
      <c r="E241" s="19" t="s">
        <v>116</v>
      </c>
      <c r="F241" s="19" t="s">
        <v>260</v>
      </c>
      <c r="G241" s="20" t="n">
        <v>1</v>
      </c>
      <c r="H241" s="20" t="n">
        <v>12</v>
      </c>
      <c r="I241" s="20" t="n">
        <v>1</v>
      </c>
      <c r="J241" s="20" t="n">
        <v>73</v>
      </c>
      <c r="K241" s="21" t="n">
        <f aca="false">G241/H241</f>
        <v>0.0833333333333333</v>
      </c>
      <c r="L241" s="21" t="n">
        <f aca="false">I241/J241</f>
        <v>0.0136986301369863</v>
      </c>
      <c r="M241" s="20" t="n">
        <v>1.2</v>
      </c>
      <c r="N241" s="22" t="s">
        <v>159</v>
      </c>
    </row>
    <row r="242" customFormat="false" ht="52.2" hidden="false" customHeight="false" outlineLevel="0" collapsed="false">
      <c r="A242" s="19" t="s">
        <v>33</v>
      </c>
      <c r="B242" s="19" t="s">
        <v>40</v>
      </c>
      <c r="C242" s="19" t="s">
        <v>41</v>
      </c>
      <c r="D242" s="19" t="s">
        <v>79</v>
      </c>
      <c r="E242" s="19" t="s">
        <v>80</v>
      </c>
      <c r="F242" s="19" t="s">
        <v>275</v>
      </c>
      <c r="G242" s="20" t="n">
        <v>0</v>
      </c>
      <c r="H242" s="20" t="n">
        <v>6</v>
      </c>
      <c r="I242" s="20" t="n">
        <v>0</v>
      </c>
      <c r="J242" s="20" t="n">
        <v>42</v>
      </c>
      <c r="K242" s="21" t="n">
        <f aca="false">G242/H242</f>
        <v>0</v>
      </c>
      <c r="L242" s="21" t="n">
        <f aca="false">I242/J242</f>
        <v>0</v>
      </c>
      <c r="M242" s="20" t="n">
        <v>0.7</v>
      </c>
      <c r="N242" s="22" t="s">
        <v>82</v>
      </c>
    </row>
    <row r="243" customFormat="false" ht="52.2" hidden="false" customHeight="false" outlineLevel="0" collapsed="false">
      <c r="A243" s="19" t="s">
        <v>33</v>
      </c>
      <c r="B243" s="19" t="s">
        <v>40</v>
      </c>
      <c r="C243" s="19" t="s">
        <v>41</v>
      </c>
      <c r="D243" s="19" t="s">
        <v>83</v>
      </c>
      <c r="E243" s="19" t="s">
        <v>84</v>
      </c>
      <c r="F243" s="19" t="s">
        <v>301</v>
      </c>
      <c r="G243" s="20" t="n">
        <v>1</v>
      </c>
      <c r="H243" s="20" t="n">
        <v>8</v>
      </c>
      <c r="I243" s="20" t="n">
        <v>1</v>
      </c>
      <c r="J243" s="20" t="n">
        <v>53</v>
      </c>
      <c r="K243" s="21" t="n">
        <f aca="false">G243/H243</f>
        <v>0.125</v>
      </c>
      <c r="L243" s="21" t="n">
        <f aca="false">I243/J243</f>
        <v>0.0188679245283019</v>
      </c>
      <c r="M243" s="20" t="n">
        <v>0.9</v>
      </c>
      <c r="N243" s="22" t="s">
        <v>86</v>
      </c>
    </row>
    <row r="244" customFormat="false" ht="52.2" hidden="false" customHeight="false" outlineLevel="0" collapsed="false">
      <c r="A244" s="19" t="s">
        <v>33</v>
      </c>
      <c r="B244" s="19" t="s">
        <v>40</v>
      </c>
      <c r="C244" s="19" t="s">
        <v>41</v>
      </c>
      <c r="D244" s="19" t="s">
        <v>87</v>
      </c>
      <c r="E244" s="19" t="s">
        <v>88</v>
      </c>
      <c r="F244" s="19" t="s">
        <v>302</v>
      </c>
      <c r="G244" s="20" t="n">
        <v>2</v>
      </c>
      <c r="H244" s="20" t="n">
        <v>8</v>
      </c>
      <c r="I244" s="20" t="n">
        <v>3</v>
      </c>
      <c r="J244" s="20" t="n">
        <v>69</v>
      </c>
      <c r="K244" s="21" t="n">
        <f aca="false">G244/H244</f>
        <v>0.25</v>
      </c>
      <c r="L244" s="21" t="n">
        <f aca="false">I244/J244</f>
        <v>0.0434782608695652</v>
      </c>
      <c r="M244" s="20" t="n">
        <v>1.2</v>
      </c>
      <c r="N244" s="22" t="s">
        <v>90</v>
      </c>
    </row>
    <row r="245" customFormat="false" ht="52.2" hidden="false" customHeight="false" outlineLevel="0" collapsed="false">
      <c r="A245" s="19" t="s">
        <v>33</v>
      </c>
      <c r="B245" s="19" t="s">
        <v>40</v>
      </c>
      <c r="C245" s="19" t="s">
        <v>41</v>
      </c>
      <c r="D245" s="19" t="s">
        <v>91</v>
      </c>
      <c r="E245" s="19" t="s">
        <v>92</v>
      </c>
      <c r="F245" s="19" t="s">
        <v>190</v>
      </c>
      <c r="G245" s="20" t="n">
        <v>0</v>
      </c>
      <c r="H245" s="20" t="n">
        <v>10</v>
      </c>
      <c r="I245" s="20" t="n">
        <v>0</v>
      </c>
      <c r="J245" s="20" t="n">
        <v>55</v>
      </c>
      <c r="K245" s="21" t="n">
        <f aca="false">G245/H245</f>
        <v>0</v>
      </c>
      <c r="L245" s="21" t="n">
        <f aca="false">I245/J245</f>
        <v>0</v>
      </c>
      <c r="M245" s="20" t="n">
        <v>0.9</v>
      </c>
      <c r="N245" s="22" t="s">
        <v>94</v>
      </c>
    </row>
    <row r="246" customFormat="false" ht="52.2" hidden="false" customHeight="false" outlineLevel="0" collapsed="false">
      <c r="A246" s="19" t="s">
        <v>33</v>
      </c>
      <c r="B246" s="19" t="s">
        <v>40</v>
      </c>
      <c r="C246" s="19" t="s">
        <v>41</v>
      </c>
      <c r="D246" s="19" t="s">
        <v>95</v>
      </c>
      <c r="E246" s="19" t="s">
        <v>96</v>
      </c>
      <c r="F246" s="19" t="s">
        <v>290</v>
      </c>
      <c r="G246" s="20" t="n">
        <v>2</v>
      </c>
      <c r="H246" s="20" t="n">
        <v>9</v>
      </c>
      <c r="I246" s="20" t="n">
        <v>4</v>
      </c>
      <c r="J246" s="20" t="n">
        <v>44</v>
      </c>
      <c r="K246" s="21" t="n">
        <f aca="false">G246/H246</f>
        <v>0.222222222222222</v>
      </c>
      <c r="L246" s="21" t="n">
        <f aca="false">I246/J246</f>
        <v>0.0909090909090909</v>
      </c>
      <c r="M246" s="20" t="n">
        <v>0.8</v>
      </c>
      <c r="N246" s="22" t="s">
        <v>98</v>
      </c>
    </row>
    <row r="247" customFormat="false" ht="52.2" hidden="false" customHeight="false" outlineLevel="0" collapsed="false">
      <c r="A247" s="19" t="s">
        <v>33</v>
      </c>
      <c r="B247" s="19" t="s">
        <v>40</v>
      </c>
      <c r="C247" s="19" t="s">
        <v>41</v>
      </c>
      <c r="D247" s="19" t="s">
        <v>99</v>
      </c>
      <c r="E247" s="19" t="s">
        <v>100</v>
      </c>
      <c r="F247" s="19" t="s">
        <v>264</v>
      </c>
      <c r="G247" s="20" t="n">
        <v>0</v>
      </c>
      <c r="H247" s="20" t="n">
        <v>6</v>
      </c>
      <c r="I247" s="20" t="n">
        <v>0</v>
      </c>
      <c r="J247" s="20" t="n">
        <v>35</v>
      </c>
      <c r="K247" s="21" t="n">
        <f aca="false">G247/H247</f>
        <v>0</v>
      </c>
      <c r="L247" s="21" t="n">
        <f aca="false">I247/J247</f>
        <v>0</v>
      </c>
      <c r="M247" s="20" t="n">
        <v>0.6</v>
      </c>
      <c r="N247" s="22" t="s">
        <v>102</v>
      </c>
    </row>
    <row r="248" customFormat="false" ht="52.2" hidden="false" customHeight="false" outlineLevel="0" collapsed="false">
      <c r="A248" s="19" t="s">
        <v>33</v>
      </c>
      <c r="B248" s="19" t="s">
        <v>40</v>
      </c>
      <c r="C248" s="19" t="s">
        <v>41</v>
      </c>
      <c r="D248" s="19" t="s">
        <v>103</v>
      </c>
      <c r="E248" s="19" t="s">
        <v>104</v>
      </c>
      <c r="F248" s="19" t="s">
        <v>303</v>
      </c>
      <c r="G248" s="20" t="n">
        <v>6</v>
      </c>
      <c r="H248" s="20" t="n">
        <v>13</v>
      </c>
      <c r="I248" s="20" t="n">
        <v>4</v>
      </c>
      <c r="J248" s="20" t="n">
        <v>67</v>
      </c>
      <c r="K248" s="21" t="n">
        <f aca="false">G248/H248</f>
        <v>0.461538461538462</v>
      </c>
      <c r="L248" s="21" t="n">
        <f aca="false">I248/J248</f>
        <v>0.0597014925373134</v>
      </c>
      <c r="M248" s="20" t="n">
        <v>1.1</v>
      </c>
      <c r="N248" s="22" t="s">
        <v>106</v>
      </c>
    </row>
    <row r="249" customFormat="false" ht="52.2" hidden="false" customHeight="false" outlineLevel="0" collapsed="false">
      <c r="A249" s="19" t="s">
        <v>33</v>
      </c>
      <c r="B249" s="19" t="s">
        <v>40</v>
      </c>
      <c r="C249" s="19" t="s">
        <v>41</v>
      </c>
      <c r="D249" s="19" t="s">
        <v>107</v>
      </c>
      <c r="E249" s="19" t="s">
        <v>108</v>
      </c>
      <c r="F249" s="19" t="s">
        <v>266</v>
      </c>
      <c r="G249" s="20" t="n">
        <v>2</v>
      </c>
      <c r="H249" s="20" t="n">
        <v>11</v>
      </c>
      <c r="I249" s="20" t="n">
        <v>1</v>
      </c>
      <c r="J249" s="20" t="n">
        <v>60</v>
      </c>
      <c r="K249" s="21" t="n">
        <f aca="false">G249/H249</f>
        <v>0.181818181818182</v>
      </c>
      <c r="L249" s="21" t="n">
        <f aca="false">I249/J249</f>
        <v>0.0166666666666667</v>
      </c>
      <c r="M249" s="20" t="n">
        <v>1.2</v>
      </c>
      <c r="N249" s="22" t="s">
        <v>110</v>
      </c>
    </row>
    <row r="250" customFormat="false" ht="52.2" hidden="false" customHeight="false" outlineLevel="0" collapsed="false">
      <c r="A250" s="19" t="s">
        <v>33</v>
      </c>
      <c r="B250" s="19" t="s">
        <v>40</v>
      </c>
      <c r="C250" s="19" t="s">
        <v>41</v>
      </c>
      <c r="D250" s="19" t="s">
        <v>111</v>
      </c>
      <c r="E250" s="19" t="s">
        <v>112</v>
      </c>
      <c r="F250" s="19" t="s">
        <v>304</v>
      </c>
      <c r="G250" s="20" t="n">
        <v>2</v>
      </c>
      <c r="H250" s="20" t="n">
        <v>8</v>
      </c>
      <c r="I250" s="20" t="n">
        <v>9</v>
      </c>
      <c r="J250" s="20" t="n">
        <v>53</v>
      </c>
      <c r="K250" s="21" t="n">
        <f aca="false">G250/H250</f>
        <v>0.25</v>
      </c>
      <c r="L250" s="21" t="n">
        <f aca="false">I250/J250</f>
        <v>0.169811320754717</v>
      </c>
      <c r="M250" s="20" t="n">
        <v>0.8</v>
      </c>
      <c r="N250" s="22" t="s">
        <v>114</v>
      </c>
    </row>
    <row r="251" customFormat="false" ht="52.2" hidden="false" customHeight="false" outlineLevel="0" collapsed="false">
      <c r="A251" s="19" t="s">
        <v>33</v>
      </c>
      <c r="B251" s="19" t="s">
        <v>40</v>
      </c>
      <c r="C251" s="19" t="s">
        <v>41</v>
      </c>
      <c r="D251" s="19" t="s">
        <v>115</v>
      </c>
      <c r="E251" s="19" t="s">
        <v>116</v>
      </c>
      <c r="F251" s="19" t="s">
        <v>260</v>
      </c>
      <c r="G251" s="20" t="n">
        <v>1</v>
      </c>
      <c r="H251" s="20" t="n">
        <v>12</v>
      </c>
      <c r="I251" s="20" t="n">
        <v>1</v>
      </c>
      <c r="J251" s="20" t="n">
        <v>73</v>
      </c>
      <c r="K251" s="21" t="n">
        <f aca="false">G251/H251</f>
        <v>0.0833333333333333</v>
      </c>
      <c r="L251" s="21" t="n">
        <f aca="false">I251/J251</f>
        <v>0.0136986301369863</v>
      </c>
      <c r="M251" s="20" t="n">
        <v>1.2</v>
      </c>
      <c r="N251" s="22" t="s">
        <v>118</v>
      </c>
    </row>
    <row r="252" customFormat="false" ht="64.9" hidden="false" customHeight="false" outlineLevel="0" collapsed="false">
      <c r="A252" s="19" t="s">
        <v>33</v>
      </c>
      <c r="B252" s="19" t="s">
        <v>42</v>
      </c>
      <c r="C252" s="19" t="s">
        <v>43</v>
      </c>
      <c r="D252" s="19" t="s">
        <v>79</v>
      </c>
      <c r="E252" s="19" t="s">
        <v>80</v>
      </c>
      <c r="F252" s="19" t="s">
        <v>215</v>
      </c>
      <c r="G252" s="20" t="n">
        <v>1</v>
      </c>
      <c r="H252" s="20" t="n">
        <v>6</v>
      </c>
      <c r="I252" s="20" t="n">
        <v>1</v>
      </c>
      <c r="J252" s="20" t="n">
        <v>42</v>
      </c>
      <c r="K252" s="21" t="n">
        <f aca="false">G252/H252</f>
        <v>0.166666666666667</v>
      </c>
      <c r="L252" s="21" t="n">
        <f aca="false">I252/J252</f>
        <v>0.0238095238095238</v>
      </c>
      <c r="M252" s="20" t="n">
        <v>0.7</v>
      </c>
      <c r="N252" s="22" t="s">
        <v>120</v>
      </c>
    </row>
    <row r="253" customFormat="false" ht="64.9" hidden="false" customHeight="false" outlineLevel="0" collapsed="false">
      <c r="A253" s="19" t="s">
        <v>33</v>
      </c>
      <c r="B253" s="19" t="s">
        <v>42</v>
      </c>
      <c r="C253" s="19" t="s">
        <v>43</v>
      </c>
      <c r="D253" s="19" t="s">
        <v>83</v>
      </c>
      <c r="E253" s="19" t="s">
        <v>84</v>
      </c>
      <c r="F253" s="19" t="s">
        <v>261</v>
      </c>
      <c r="G253" s="20" t="n">
        <v>0</v>
      </c>
      <c r="H253" s="20" t="n">
        <v>8</v>
      </c>
      <c r="I253" s="20" t="n">
        <v>0</v>
      </c>
      <c r="J253" s="20" t="n">
        <v>53</v>
      </c>
      <c r="K253" s="21" t="n">
        <f aca="false">G253/H253</f>
        <v>0</v>
      </c>
      <c r="L253" s="21" t="n">
        <f aca="false">I253/J253</f>
        <v>0</v>
      </c>
      <c r="M253" s="20" t="n">
        <v>0.9</v>
      </c>
      <c r="N253" s="22" t="s">
        <v>122</v>
      </c>
    </row>
    <row r="254" customFormat="false" ht="64.9" hidden="false" customHeight="false" outlineLevel="0" collapsed="false">
      <c r="A254" s="19" t="s">
        <v>33</v>
      </c>
      <c r="B254" s="19" t="s">
        <v>42</v>
      </c>
      <c r="C254" s="19" t="s">
        <v>43</v>
      </c>
      <c r="D254" s="19" t="s">
        <v>87</v>
      </c>
      <c r="E254" s="19" t="s">
        <v>88</v>
      </c>
      <c r="F254" s="19" t="s">
        <v>270</v>
      </c>
      <c r="G254" s="20" t="n">
        <v>0</v>
      </c>
      <c r="H254" s="20" t="n">
        <v>8</v>
      </c>
      <c r="I254" s="20" t="n">
        <v>0</v>
      </c>
      <c r="J254" s="20" t="n">
        <v>69</v>
      </c>
      <c r="K254" s="21" t="n">
        <f aca="false">G254/H254</f>
        <v>0</v>
      </c>
      <c r="L254" s="21" t="n">
        <f aca="false">I254/J254</f>
        <v>0</v>
      </c>
      <c r="M254" s="20" t="n">
        <v>1.2</v>
      </c>
      <c r="N254" s="22" t="s">
        <v>124</v>
      </c>
    </row>
    <row r="255" customFormat="false" ht="64.9" hidden="false" customHeight="false" outlineLevel="0" collapsed="false">
      <c r="A255" s="19" t="s">
        <v>33</v>
      </c>
      <c r="B255" s="19" t="s">
        <v>42</v>
      </c>
      <c r="C255" s="19" t="s">
        <v>43</v>
      </c>
      <c r="D255" s="19" t="s">
        <v>91</v>
      </c>
      <c r="E255" s="19" t="s">
        <v>92</v>
      </c>
      <c r="F255" s="19" t="s">
        <v>190</v>
      </c>
      <c r="G255" s="20" t="n">
        <v>0</v>
      </c>
      <c r="H255" s="20" t="n">
        <v>10</v>
      </c>
      <c r="I255" s="20" t="n">
        <v>0</v>
      </c>
      <c r="J255" s="20" t="n">
        <v>55</v>
      </c>
      <c r="K255" s="21" t="n">
        <f aca="false">G255/H255</f>
        <v>0</v>
      </c>
      <c r="L255" s="21" t="n">
        <f aca="false">I255/J255</f>
        <v>0</v>
      </c>
      <c r="M255" s="20" t="n">
        <v>0.9</v>
      </c>
      <c r="N255" s="22" t="s">
        <v>126</v>
      </c>
    </row>
    <row r="256" customFormat="false" ht="64.9" hidden="false" customHeight="false" outlineLevel="0" collapsed="false">
      <c r="A256" s="19" t="s">
        <v>33</v>
      </c>
      <c r="B256" s="19" t="s">
        <v>42</v>
      </c>
      <c r="C256" s="19" t="s">
        <v>43</v>
      </c>
      <c r="D256" s="19" t="s">
        <v>95</v>
      </c>
      <c r="E256" s="19" t="s">
        <v>96</v>
      </c>
      <c r="F256" s="19" t="s">
        <v>263</v>
      </c>
      <c r="G256" s="20" t="n">
        <v>1</v>
      </c>
      <c r="H256" s="20" t="n">
        <v>9</v>
      </c>
      <c r="I256" s="20" t="n">
        <v>1</v>
      </c>
      <c r="J256" s="20" t="n">
        <v>44</v>
      </c>
      <c r="K256" s="21" t="n">
        <f aca="false">G256/H256</f>
        <v>0.111111111111111</v>
      </c>
      <c r="L256" s="21" t="n">
        <f aca="false">I256/J256</f>
        <v>0.0227272727272727</v>
      </c>
      <c r="M256" s="20" t="n">
        <v>0.8</v>
      </c>
      <c r="N256" s="22" t="s">
        <v>128</v>
      </c>
    </row>
    <row r="257" customFormat="false" ht="64.9" hidden="false" customHeight="false" outlineLevel="0" collapsed="false">
      <c r="A257" s="19" t="s">
        <v>33</v>
      </c>
      <c r="B257" s="19" t="s">
        <v>42</v>
      </c>
      <c r="C257" s="19" t="s">
        <v>43</v>
      </c>
      <c r="D257" s="19" t="s">
        <v>99</v>
      </c>
      <c r="E257" s="19" t="s">
        <v>100</v>
      </c>
      <c r="F257" s="19" t="s">
        <v>264</v>
      </c>
      <c r="G257" s="20" t="n">
        <v>0</v>
      </c>
      <c r="H257" s="20" t="n">
        <v>6</v>
      </c>
      <c r="I257" s="20" t="n">
        <v>0</v>
      </c>
      <c r="J257" s="20" t="n">
        <v>35</v>
      </c>
      <c r="K257" s="21" t="n">
        <f aca="false">G257/H257</f>
        <v>0</v>
      </c>
      <c r="L257" s="21" t="n">
        <f aca="false">I257/J257</f>
        <v>0</v>
      </c>
      <c r="M257" s="20" t="n">
        <v>0.6</v>
      </c>
      <c r="N257" s="22" t="s">
        <v>130</v>
      </c>
    </row>
    <row r="258" customFormat="false" ht="64.9" hidden="false" customHeight="false" outlineLevel="0" collapsed="false">
      <c r="A258" s="19" t="s">
        <v>33</v>
      </c>
      <c r="B258" s="19" t="s">
        <v>42</v>
      </c>
      <c r="C258" s="19" t="s">
        <v>43</v>
      </c>
      <c r="D258" s="19" t="s">
        <v>103</v>
      </c>
      <c r="E258" s="19" t="s">
        <v>131</v>
      </c>
      <c r="F258" s="19" t="s">
        <v>305</v>
      </c>
      <c r="G258" s="20" t="n">
        <v>2</v>
      </c>
      <c r="H258" s="20" t="n">
        <v>10</v>
      </c>
      <c r="I258" s="20" t="n">
        <v>1</v>
      </c>
      <c r="J258" s="20" t="n">
        <v>58</v>
      </c>
      <c r="K258" s="21" t="n">
        <f aca="false">G258/H258</f>
        <v>0.2</v>
      </c>
      <c r="L258" s="21" t="n">
        <f aca="false">I258/J258</f>
        <v>0.0172413793103448</v>
      </c>
      <c r="M258" s="20" t="n">
        <v>1</v>
      </c>
      <c r="N258" s="22" t="s">
        <v>133</v>
      </c>
    </row>
    <row r="259" customFormat="false" ht="64.9" hidden="false" customHeight="false" outlineLevel="0" collapsed="false">
      <c r="A259" s="19" t="s">
        <v>33</v>
      </c>
      <c r="B259" s="19" t="s">
        <v>42</v>
      </c>
      <c r="C259" s="19" t="s">
        <v>43</v>
      </c>
      <c r="D259" s="19" t="s">
        <v>107</v>
      </c>
      <c r="E259" s="19" t="s">
        <v>108</v>
      </c>
      <c r="F259" s="19" t="s">
        <v>266</v>
      </c>
      <c r="G259" s="20" t="n">
        <v>2</v>
      </c>
      <c r="H259" s="20" t="n">
        <v>11</v>
      </c>
      <c r="I259" s="20" t="n">
        <v>1</v>
      </c>
      <c r="J259" s="20" t="n">
        <v>60</v>
      </c>
      <c r="K259" s="21" t="n">
        <f aca="false">G259/H259</f>
        <v>0.181818181818182</v>
      </c>
      <c r="L259" s="21" t="n">
        <f aca="false">I259/J259</f>
        <v>0.0166666666666667</v>
      </c>
      <c r="M259" s="20" t="n">
        <v>1.1</v>
      </c>
      <c r="N259" s="22" t="s">
        <v>135</v>
      </c>
    </row>
    <row r="260" customFormat="false" ht="64.9" hidden="false" customHeight="false" outlineLevel="0" collapsed="false">
      <c r="A260" s="19" t="s">
        <v>33</v>
      </c>
      <c r="B260" s="19" t="s">
        <v>42</v>
      </c>
      <c r="C260" s="19" t="s">
        <v>43</v>
      </c>
      <c r="D260" s="19" t="s">
        <v>111</v>
      </c>
      <c r="E260" s="19" t="s">
        <v>112</v>
      </c>
      <c r="F260" s="19" t="s">
        <v>306</v>
      </c>
      <c r="G260" s="20" t="n">
        <v>5</v>
      </c>
      <c r="H260" s="20" t="n">
        <v>8</v>
      </c>
      <c r="I260" s="20" t="n">
        <v>4</v>
      </c>
      <c r="J260" s="20" t="n">
        <v>53</v>
      </c>
      <c r="K260" s="21" t="n">
        <f aca="false">G260/H260</f>
        <v>0.625</v>
      </c>
      <c r="L260" s="21" t="n">
        <f aca="false">I260/J260</f>
        <v>0.0754716981132075</v>
      </c>
      <c r="M260" s="20" t="n">
        <v>0.9</v>
      </c>
      <c r="N260" s="22" t="s">
        <v>137</v>
      </c>
    </row>
    <row r="261" customFormat="false" ht="64.9" hidden="false" customHeight="false" outlineLevel="0" collapsed="false">
      <c r="A261" s="19" t="s">
        <v>33</v>
      </c>
      <c r="B261" s="19" t="s">
        <v>42</v>
      </c>
      <c r="C261" s="19" t="s">
        <v>43</v>
      </c>
      <c r="D261" s="19" t="s">
        <v>115</v>
      </c>
      <c r="E261" s="19" t="s">
        <v>116</v>
      </c>
      <c r="F261" s="19" t="s">
        <v>307</v>
      </c>
      <c r="G261" s="20" t="n">
        <v>2</v>
      </c>
      <c r="H261" s="20" t="n">
        <v>12</v>
      </c>
      <c r="I261" s="20" t="n">
        <v>2</v>
      </c>
      <c r="J261" s="20" t="n">
        <v>73</v>
      </c>
      <c r="K261" s="21" t="n">
        <f aca="false">G261/H261</f>
        <v>0.166666666666667</v>
      </c>
      <c r="L261" s="21" t="n">
        <f aca="false">I261/J261</f>
        <v>0.0273972602739726</v>
      </c>
      <c r="M261" s="20" t="n">
        <v>1.3</v>
      </c>
      <c r="N261" s="22" t="s">
        <v>139</v>
      </c>
    </row>
    <row r="262" customFormat="false" ht="52.2" hidden="false" customHeight="false" outlineLevel="0" collapsed="false">
      <c r="A262" s="19" t="s">
        <v>33</v>
      </c>
      <c r="B262" s="19" t="s">
        <v>44</v>
      </c>
      <c r="C262" s="19" t="s">
        <v>45</v>
      </c>
      <c r="D262" s="19" t="s">
        <v>79</v>
      </c>
      <c r="E262" s="19" t="s">
        <v>80</v>
      </c>
      <c r="F262" s="19" t="s">
        <v>275</v>
      </c>
      <c r="G262" s="20" t="n">
        <v>0</v>
      </c>
      <c r="H262" s="20" t="n">
        <v>6</v>
      </c>
      <c r="I262" s="20" t="n">
        <v>0</v>
      </c>
      <c r="J262" s="20" t="n">
        <v>42</v>
      </c>
      <c r="K262" s="21" t="n">
        <f aca="false">G262/H262</f>
        <v>0</v>
      </c>
      <c r="L262" s="21" t="n">
        <f aca="false">I262/J262</f>
        <v>0</v>
      </c>
      <c r="M262" s="20" t="n">
        <v>0.7</v>
      </c>
      <c r="N262" s="22" t="s">
        <v>141</v>
      </c>
    </row>
    <row r="263" customFormat="false" ht="52.2" hidden="false" customHeight="false" outlineLevel="0" collapsed="false">
      <c r="A263" s="19" t="s">
        <v>33</v>
      </c>
      <c r="B263" s="19" t="s">
        <v>44</v>
      </c>
      <c r="C263" s="19" t="s">
        <v>45</v>
      </c>
      <c r="D263" s="19" t="s">
        <v>83</v>
      </c>
      <c r="E263" s="19" t="s">
        <v>84</v>
      </c>
      <c r="F263" s="19" t="s">
        <v>308</v>
      </c>
      <c r="G263" s="20" t="n">
        <v>3</v>
      </c>
      <c r="H263" s="20" t="n">
        <v>8</v>
      </c>
      <c r="I263" s="20" t="n">
        <v>2</v>
      </c>
      <c r="J263" s="20" t="n">
        <v>53</v>
      </c>
      <c r="K263" s="21" t="n">
        <f aca="false">G263/H263</f>
        <v>0.375</v>
      </c>
      <c r="L263" s="21" t="n">
        <f aca="false">I263/J263</f>
        <v>0.0377358490566038</v>
      </c>
      <c r="M263" s="20" t="n">
        <v>0.9</v>
      </c>
      <c r="N263" s="22" t="s">
        <v>143</v>
      </c>
    </row>
    <row r="264" customFormat="false" ht="52.2" hidden="false" customHeight="false" outlineLevel="0" collapsed="false">
      <c r="A264" s="19" t="s">
        <v>33</v>
      </c>
      <c r="B264" s="19" t="s">
        <v>44</v>
      </c>
      <c r="C264" s="19" t="s">
        <v>45</v>
      </c>
      <c r="D264" s="19" t="s">
        <v>87</v>
      </c>
      <c r="E264" s="19" t="s">
        <v>88</v>
      </c>
      <c r="F264" s="19" t="s">
        <v>270</v>
      </c>
      <c r="G264" s="20" t="n">
        <v>0</v>
      </c>
      <c r="H264" s="20" t="n">
        <v>8</v>
      </c>
      <c r="I264" s="20" t="n">
        <v>0</v>
      </c>
      <c r="J264" s="20" t="n">
        <v>69</v>
      </c>
      <c r="K264" s="21" t="n">
        <f aca="false">G264/H264</f>
        <v>0</v>
      </c>
      <c r="L264" s="21" t="n">
        <f aca="false">I264/J264</f>
        <v>0</v>
      </c>
      <c r="M264" s="20" t="n">
        <v>1.2</v>
      </c>
      <c r="N264" s="22" t="s">
        <v>145</v>
      </c>
    </row>
    <row r="265" customFormat="false" ht="52.2" hidden="false" customHeight="false" outlineLevel="0" collapsed="false">
      <c r="A265" s="19" t="s">
        <v>33</v>
      </c>
      <c r="B265" s="19" t="s">
        <v>44</v>
      </c>
      <c r="C265" s="19" t="s">
        <v>45</v>
      </c>
      <c r="D265" s="19" t="s">
        <v>91</v>
      </c>
      <c r="E265" s="19" t="s">
        <v>92</v>
      </c>
      <c r="F265" s="19" t="s">
        <v>309</v>
      </c>
      <c r="G265" s="20" t="n">
        <v>2</v>
      </c>
      <c r="H265" s="20" t="n">
        <v>10</v>
      </c>
      <c r="I265" s="20" t="n">
        <v>2</v>
      </c>
      <c r="J265" s="20" t="n">
        <v>55</v>
      </c>
      <c r="K265" s="21" t="n">
        <f aca="false">G265/H265</f>
        <v>0.2</v>
      </c>
      <c r="L265" s="21" t="n">
        <f aca="false">I265/J265</f>
        <v>0.0363636363636364</v>
      </c>
      <c r="M265" s="20" t="n">
        <v>0.9</v>
      </c>
      <c r="N265" s="22" t="s">
        <v>147</v>
      </c>
    </row>
    <row r="266" customFormat="false" ht="52.2" hidden="false" customHeight="false" outlineLevel="0" collapsed="false">
      <c r="A266" s="19" t="s">
        <v>33</v>
      </c>
      <c r="B266" s="19" t="s">
        <v>44</v>
      </c>
      <c r="C266" s="19" t="s">
        <v>45</v>
      </c>
      <c r="D266" s="19" t="s">
        <v>95</v>
      </c>
      <c r="E266" s="19" t="s">
        <v>96</v>
      </c>
      <c r="F266" s="19" t="s">
        <v>299</v>
      </c>
      <c r="G266" s="20" t="n">
        <v>1</v>
      </c>
      <c r="H266" s="20" t="n">
        <v>9</v>
      </c>
      <c r="I266" s="20" t="n">
        <v>1</v>
      </c>
      <c r="J266" s="20" t="n">
        <v>44</v>
      </c>
      <c r="K266" s="21" t="n">
        <f aca="false">G266/H266</f>
        <v>0.111111111111111</v>
      </c>
      <c r="L266" s="21" t="n">
        <f aca="false">I266/J266</f>
        <v>0.0227272727272727</v>
      </c>
      <c r="M266" s="20" t="n">
        <v>0.8</v>
      </c>
      <c r="N266" s="22" t="s">
        <v>149</v>
      </c>
    </row>
    <row r="267" customFormat="false" ht="52.2" hidden="false" customHeight="false" outlineLevel="0" collapsed="false">
      <c r="A267" s="19" t="s">
        <v>33</v>
      </c>
      <c r="B267" s="19" t="s">
        <v>44</v>
      </c>
      <c r="C267" s="19" t="s">
        <v>45</v>
      </c>
      <c r="D267" s="19" t="s">
        <v>99</v>
      </c>
      <c r="E267" s="19" t="s">
        <v>100</v>
      </c>
      <c r="F267" s="19" t="s">
        <v>264</v>
      </c>
      <c r="G267" s="20" t="n">
        <v>0</v>
      </c>
      <c r="H267" s="20" t="n">
        <v>6</v>
      </c>
      <c r="I267" s="20" t="n">
        <v>0</v>
      </c>
      <c r="J267" s="20" t="n">
        <v>35</v>
      </c>
      <c r="K267" s="21" t="n">
        <f aca="false">G267/H267</f>
        <v>0</v>
      </c>
      <c r="L267" s="21" t="n">
        <f aca="false">I267/J267</f>
        <v>0</v>
      </c>
      <c r="M267" s="20" t="n">
        <v>0.6</v>
      </c>
      <c r="N267" s="22" t="s">
        <v>151</v>
      </c>
    </row>
    <row r="268" customFormat="false" ht="52.2" hidden="false" customHeight="false" outlineLevel="0" collapsed="false">
      <c r="A268" s="19" t="s">
        <v>33</v>
      </c>
      <c r="B268" s="19" t="s">
        <v>44</v>
      </c>
      <c r="C268" s="19" t="s">
        <v>45</v>
      </c>
      <c r="D268" s="19" t="s">
        <v>103</v>
      </c>
      <c r="E268" s="19" t="s">
        <v>131</v>
      </c>
      <c r="F268" s="19" t="s">
        <v>310</v>
      </c>
      <c r="G268" s="20" t="n">
        <v>6</v>
      </c>
      <c r="H268" s="20" t="n">
        <v>10</v>
      </c>
      <c r="I268" s="20" t="n">
        <v>3</v>
      </c>
      <c r="J268" s="20" t="n">
        <v>58</v>
      </c>
      <c r="K268" s="21" t="n">
        <f aca="false">G268/H268</f>
        <v>0.6</v>
      </c>
      <c r="L268" s="21" t="n">
        <f aca="false">I268/J268</f>
        <v>0.0517241379310345</v>
      </c>
      <c r="M268" s="20" t="n">
        <v>1</v>
      </c>
      <c r="N268" s="22" t="s">
        <v>153</v>
      </c>
    </row>
    <row r="269" customFormat="false" ht="52.2" hidden="false" customHeight="false" outlineLevel="0" collapsed="false">
      <c r="A269" s="19" t="s">
        <v>33</v>
      </c>
      <c r="B269" s="19" t="s">
        <v>44</v>
      </c>
      <c r="C269" s="19" t="s">
        <v>45</v>
      </c>
      <c r="D269" s="19" t="s">
        <v>107</v>
      </c>
      <c r="E269" s="19" t="s">
        <v>108</v>
      </c>
      <c r="F269" s="19" t="s">
        <v>266</v>
      </c>
      <c r="G269" s="20" t="n">
        <v>2</v>
      </c>
      <c r="H269" s="20" t="n">
        <v>11</v>
      </c>
      <c r="I269" s="20" t="n">
        <v>1</v>
      </c>
      <c r="J269" s="20" t="n">
        <v>60</v>
      </c>
      <c r="K269" s="21" t="n">
        <f aca="false">G269/H269</f>
        <v>0.181818181818182</v>
      </c>
      <c r="L269" s="21" t="n">
        <f aca="false">I269/J269</f>
        <v>0.0166666666666667</v>
      </c>
      <c r="M269" s="20" t="n">
        <v>1</v>
      </c>
      <c r="N269" s="22" t="s">
        <v>155</v>
      </c>
    </row>
    <row r="270" customFormat="false" ht="52.2" hidden="false" customHeight="false" outlineLevel="0" collapsed="false">
      <c r="A270" s="19" t="s">
        <v>33</v>
      </c>
      <c r="B270" s="19" t="s">
        <v>44</v>
      </c>
      <c r="C270" s="19" t="s">
        <v>45</v>
      </c>
      <c r="D270" s="19" t="s">
        <v>111</v>
      </c>
      <c r="E270" s="19" t="s">
        <v>112</v>
      </c>
      <c r="F270" s="19" t="s">
        <v>280</v>
      </c>
      <c r="G270" s="20" t="n">
        <v>0</v>
      </c>
      <c r="H270" s="20" t="n">
        <v>8</v>
      </c>
      <c r="I270" s="20" t="n">
        <v>0</v>
      </c>
      <c r="J270" s="20" t="n">
        <v>53</v>
      </c>
      <c r="K270" s="21" t="n">
        <f aca="false">G270/H270</f>
        <v>0</v>
      </c>
      <c r="L270" s="21" t="n">
        <f aca="false">I270/J270</f>
        <v>0</v>
      </c>
      <c r="M270" s="20" t="n">
        <v>0.9</v>
      </c>
      <c r="N270" s="22" t="s">
        <v>157</v>
      </c>
    </row>
    <row r="271" customFormat="false" ht="52.2" hidden="false" customHeight="false" outlineLevel="0" collapsed="false">
      <c r="A271" s="19" t="s">
        <v>33</v>
      </c>
      <c r="B271" s="19" t="s">
        <v>44</v>
      </c>
      <c r="C271" s="19" t="s">
        <v>45</v>
      </c>
      <c r="D271" s="19" t="s">
        <v>115</v>
      </c>
      <c r="E271" s="19" t="s">
        <v>116</v>
      </c>
      <c r="F271" s="19" t="s">
        <v>260</v>
      </c>
      <c r="G271" s="20" t="n">
        <v>1</v>
      </c>
      <c r="H271" s="20" t="n">
        <v>12</v>
      </c>
      <c r="I271" s="20" t="n">
        <v>1</v>
      </c>
      <c r="J271" s="20" t="n">
        <v>73</v>
      </c>
      <c r="K271" s="21" t="n">
        <f aca="false">G271/H271</f>
        <v>0.0833333333333333</v>
      </c>
      <c r="L271" s="21" t="n">
        <f aca="false">I271/J271</f>
        <v>0.0136986301369863</v>
      </c>
      <c r="M271" s="20" t="n">
        <v>1.2</v>
      </c>
      <c r="N271" s="22" t="s">
        <v>159</v>
      </c>
    </row>
    <row r="272" customFormat="false" ht="52.2" hidden="false" customHeight="false" outlineLevel="0" collapsed="false">
      <c r="A272" s="19" t="s">
        <v>35</v>
      </c>
      <c r="B272" s="19" t="s">
        <v>40</v>
      </c>
      <c r="C272" s="19" t="s">
        <v>41</v>
      </c>
      <c r="D272" s="19" t="s">
        <v>79</v>
      </c>
      <c r="E272" s="19" t="s">
        <v>80</v>
      </c>
      <c r="F272" s="19" t="s">
        <v>311</v>
      </c>
      <c r="G272" s="20" t="n">
        <v>1</v>
      </c>
      <c r="H272" s="20" t="n">
        <v>6</v>
      </c>
      <c r="I272" s="20" t="n">
        <v>1</v>
      </c>
      <c r="J272" s="20" t="n">
        <v>42</v>
      </c>
      <c r="K272" s="21" t="n">
        <f aca="false">G272/H272</f>
        <v>0.166666666666667</v>
      </c>
      <c r="L272" s="21" t="n">
        <f aca="false">I272/J272</f>
        <v>0.0238095238095238</v>
      </c>
      <c r="M272" s="20" t="n">
        <v>0.1</v>
      </c>
      <c r="N272" s="22" t="s">
        <v>82</v>
      </c>
    </row>
    <row r="273" customFormat="false" ht="52.2" hidden="false" customHeight="false" outlineLevel="0" collapsed="false">
      <c r="A273" s="19" t="s">
        <v>35</v>
      </c>
      <c r="B273" s="19" t="s">
        <v>40</v>
      </c>
      <c r="C273" s="19" t="s">
        <v>41</v>
      </c>
      <c r="D273" s="19" t="s">
        <v>83</v>
      </c>
      <c r="E273" s="19" t="s">
        <v>84</v>
      </c>
      <c r="F273" s="19" t="s">
        <v>178</v>
      </c>
      <c r="G273" s="20" t="n">
        <v>3</v>
      </c>
      <c r="H273" s="20" t="n">
        <v>8</v>
      </c>
      <c r="I273" s="20" t="n">
        <v>4</v>
      </c>
      <c r="J273" s="20" t="n">
        <v>53</v>
      </c>
      <c r="K273" s="21" t="n">
        <f aca="false">G273/H273</f>
        <v>0.375</v>
      </c>
      <c r="L273" s="21" t="n">
        <f aca="false">I273/J273</f>
        <v>0.0754716981132075</v>
      </c>
      <c r="M273" s="20" t="n">
        <v>0</v>
      </c>
      <c r="N273" s="22" t="s">
        <v>86</v>
      </c>
    </row>
    <row r="274" customFormat="false" ht="52.2" hidden="false" customHeight="false" outlineLevel="0" collapsed="false">
      <c r="A274" s="19" t="s">
        <v>35</v>
      </c>
      <c r="B274" s="19" t="s">
        <v>40</v>
      </c>
      <c r="C274" s="19" t="s">
        <v>41</v>
      </c>
      <c r="D274" s="19" t="s">
        <v>87</v>
      </c>
      <c r="E274" s="19" t="s">
        <v>88</v>
      </c>
      <c r="F274" s="19" t="s">
        <v>312</v>
      </c>
      <c r="G274" s="20" t="n">
        <v>4</v>
      </c>
      <c r="H274" s="20" t="n">
        <v>8</v>
      </c>
      <c r="I274" s="20" t="n">
        <v>17</v>
      </c>
      <c r="J274" s="20" t="n">
        <v>69</v>
      </c>
      <c r="K274" s="21" t="n">
        <f aca="false">G274/H274</f>
        <v>0.5</v>
      </c>
      <c r="L274" s="21" t="n">
        <f aca="false">I274/J274</f>
        <v>0.246376811594203</v>
      </c>
      <c r="M274" s="20" t="n">
        <v>0</v>
      </c>
      <c r="N274" s="22" t="s">
        <v>90</v>
      </c>
    </row>
    <row r="275" customFormat="false" ht="52.2" hidden="false" customHeight="false" outlineLevel="0" collapsed="false">
      <c r="A275" s="19" t="s">
        <v>35</v>
      </c>
      <c r="B275" s="19" t="s">
        <v>40</v>
      </c>
      <c r="C275" s="19" t="s">
        <v>41</v>
      </c>
      <c r="D275" s="19" t="s">
        <v>91</v>
      </c>
      <c r="E275" s="19" t="s">
        <v>92</v>
      </c>
      <c r="F275" s="19" t="s">
        <v>313</v>
      </c>
      <c r="G275" s="20" t="n">
        <v>1</v>
      </c>
      <c r="H275" s="20" t="n">
        <v>10</v>
      </c>
      <c r="I275" s="20" t="n">
        <v>1</v>
      </c>
      <c r="J275" s="20" t="n">
        <v>55</v>
      </c>
      <c r="K275" s="21" t="n">
        <f aca="false">G275/H275</f>
        <v>0.1</v>
      </c>
      <c r="L275" s="21" t="n">
        <f aca="false">I275/J275</f>
        <v>0.0181818181818182</v>
      </c>
      <c r="M275" s="20" t="n">
        <v>0</v>
      </c>
      <c r="N275" s="22" t="s">
        <v>94</v>
      </c>
    </row>
    <row r="276" customFormat="false" ht="52.2" hidden="false" customHeight="false" outlineLevel="0" collapsed="false">
      <c r="A276" s="19" t="s">
        <v>35</v>
      </c>
      <c r="B276" s="19" t="s">
        <v>40</v>
      </c>
      <c r="C276" s="19" t="s">
        <v>41</v>
      </c>
      <c r="D276" s="19" t="s">
        <v>95</v>
      </c>
      <c r="E276" s="19" t="s">
        <v>96</v>
      </c>
      <c r="F276" s="19" t="s">
        <v>290</v>
      </c>
      <c r="G276" s="20" t="n">
        <v>2</v>
      </c>
      <c r="H276" s="20" t="n">
        <v>9</v>
      </c>
      <c r="I276" s="20" t="n">
        <v>4</v>
      </c>
      <c r="J276" s="20" t="n">
        <v>44</v>
      </c>
      <c r="K276" s="21" t="n">
        <f aca="false">G276/H276</f>
        <v>0.222222222222222</v>
      </c>
      <c r="L276" s="21" t="n">
        <f aca="false">I276/J276</f>
        <v>0.0909090909090909</v>
      </c>
      <c r="M276" s="20" t="n">
        <v>0</v>
      </c>
      <c r="N276" s="22" t="s">
        <v>98</v>
      </c>
    </row>
    <row r="277" customFormat="false" ht="52.2" hidden="false" customHeight="false" outlineLevel="0" collapsed="false">
      <c r="A277" s="19" t="s">
        <v>35</v>
      </c>
      <c r="B277" s="19" t="s">
        <v>40</v>
      </c>
      <c r="C277" s="19" t="s">
        <v>41</v>
      </c>
      <c r="D277" s="19" t="s">
        <v>99</v>
      </c>
      <c r="E277" s="19" t="s">
        <v>100</v>
      </c>
      <c r="F277" s="19" t="s">
        <v>264</v>
      </c>
      <c r="G277" s="20" t="n">
        <v>0</v>
      </c>
      <c r="H277" s="20" t="n">
        <v>6</v>
      </c>
      <c r="I277" s="20" t="n">
        <v>0</v>
      </c>
      <c r="J277" s="20" t="n">
        <v>35</v>
      </c>
      <c r="K277" s="21" t="n">
        <f aca="false">G277/H277</f>
        <v>0</v>
      </c>
      <c r="L277" s="21" t="n">
        <f aca="false">I277/J277</f>
        <v>0</v>
      </c>
      <c r="M277" s="20" t="n">
        <v>0</v>
      </c>
      <c r="N277" s="22" t="s">
        <v>102</v>
      </c>
    </row>
    <row r="278" customFormat="false" ht="52.2" hidden="false" customHeight="false" outlineLevel="0" collapsed="false">
      <c r="A278" s="19" t="s">
        <v>35</v>
      </c>
      <c r="B278" s="19" t="s">
        <v>40</v>
      </c>
      <c r="C278" s="19" t="s">
        <v>41</v>
      </c>
      <c r="D278" s="19" t="s">
        <v>103</v>
      </c>
      <c r="E278" s="19" t="s">
        <v>104</v>
      </c>
      <c r="F278" s="19" t="s">
        <v>314</v>
      </c>
      <c r="G278" s="20" t="n">
        <v>10</v>
      </c>
      <c r="H278" s="20" t="n">
        <v>13</v>
      </c>
      <c r="I278" s="20" t="n">
        <v>7</v>
      </c>
      <c r="J278" s="20" t="n">
        <v>67</v>
      </c>
      <c r="K278" s="21" t="n">
        <f aca="false">G278/H278</f>
        <v>0.769230769230769</v>
      </c>
      <c r="L278" s="21" t="n">
        <f aca="false">I278/J278</f>
        <v>0.104477611940299</v>
      </c>
      <c r="M278" s="20" t="n">
        <v>0</v>
      </c>
      <c r="N278" s="22" t="s">
        <v>106</v>
      </c>
    </row>
    <row r="279" customFormat="false" ht="52.2" hidden="false" customHeight="false" outlineLevel="0" collapsed="false">
      <c r="A279" s="19" t="s">
        <v>35</v>
      </c>
      <c r="B279" s="19" t="s">
        <v>40</v>
      </c>
      <c r="C279" s="19" t="s">
        <v>41</v>
      </c>
      <c r="D279" s="19" t="s">
        <v>107</v>
      </c>
      <c r="E279" s="19" t="s">
        <v>108</v>
      </c>
      <c r="F279" s="19" t="s">
        <v>315</v>
      </c>
      <c r="G279" s="20" t="n">
        <v>4</v>
      </c>
      <c r="H279" s="20" t="n">
        <v>11</v>
      </c>
      <c r="I279" s="20" t="n">
        <v>3</v>
      </c>
      <c r="J279" s="20" t="n">
        <v>60</v>
      </c>
      <c r="K279" s="21" t="n">
        <f aca="false">G279/H279</f>
        <v>0.363636363636364</v>
      </c>
      <c r="L279" s="21" t="n">
        <f aca="false">I279/J279</f>
        <v>0.05</v>
      </c>
      <c r="M279" s="20" t="n">
        <v>0</v>
      </c>
      <c r="N279" s="22" t="s">
        <v>110</v>
      </c>
    </row>
    <row r="280" customFormat="false" ht="52.2" hidden="false" customHeight="false" outlineLevel="0" collapsed="false">
      <c r="A280" s="19" t="s">
        <v>35</v>
      </c>
      <c r="B280" s="19" t="s">
        <v>40</v>
      </c>
      <c r="C280" s="19" t="s">
        <v>41</v>
      </c>
      <c r="D280" s="19" t="s">
        <v>111</v>
      </c>
      <c r="E280" s="19" t="s">
        <v>112</v>
      </c>
      <c r="F280" s="19" t="s">
        <v>293</v>
      </c>
      <c r="G280" s="20" t="n">
        <v>1</v>
      </c>
      <c r="H280" s="20" t="n">
        <v>8</v>
      </c>
      <c r="I280" s="20" t="n">
        <v>1</v>
      </c>
      <c r="J280" s="20" t="n">
        <v>53</v>
      </c>
      <c r="K280" s="21" t="n">
        <f aca="false">G280/H280</f>
        <v>0.125</v>
      </c>
      <c r="L280" s="21" t="n">
        <f aca="false">I280/J280</f>
        <v>0.0188679245283019</v>
      </c>
      <c r="M280" s="20" t="n">
        <v>0</v>
      </c>
      <c r="N280" s="22" t="s">
        <v>114</v>
      </c>
    </row>
    <row r="281" customFormat="false" ht="52.2" hidden="false" customHeight="false" outlineLevel="0" collapsed="false">
      <c r="A281" s="19" t="s">
        <v>35</v>
      </c>
      <c r="B281" s="19" t="s">
        <v>40</v>
      </c>
      <c r="C281" s="19" t="s">
        <v>41</v>
      </c>
      <c r="D281" s="19" t="s">
        <v>115</v>
      </c>
      <c r="E281" s="19" t="s">
        <v>116</v>
      </c>
      <c r="F281" s="19" t="s">
        <v>316</v>
      </c>
      <c r="G281" s="20" t="n">
        <v>3</v>
      </c>
      <c r="H281" s="20" t="n">
        <v>12</v>
      </c>
      <c r="I281" s="20" t="n">
        <v>2</v>
      </c>
      <c r="J281" s="20" t="n">
        <v>73</v>
      </c>
      <c r="K281" s="21" t="n">
        <f aca="false">G281/H281</f>
        <v>0.25</v>
      </c>
      <c r="L281" s="21" t="n">
        <f aca="false">I281/J281</f>
        <v>0.0273972602739726</v>
      </c>
      <c r="M281" s="20" t="n">
        <v>0</v>
      </c>
      <c r="N281" s="22" t="s">
        <v>118</v>
      </c>
    </row>
    <row r="282" customFormat="false" ht="64.9" hidden="false" customHeight="false" outlineLevel="0" collapsed="false">
      <c r="A282" s="19" t="s">
        <v>35</v>
      </c>
      <c r="B282" s="19" t="s">
        <v>42</v>
      </c>
      <c r="C282" s="19" t="s">
        <v>43</v>
      </c>
      <c r="D282" s="19" t="s">
        <v>79</v>
      </c>
      <c r="E282" s="19" t="s">
        <v>80</v>
      </c>
      <c r="F282" s="19" t="s">
        <v>317</v>
      </c>
      <c r="G282" s="20" t="n">
        <v>1</v>
      </c>
      <c r="H282" s="20" t="n">
        <v>6</v>
      </c>
      <c r="I282" s="20" t="n">
        <v>1</v>
      </c>
      <c r="J282" s="20" t="n">
        <v>42</v>
      </c>
      <c r="K282" s="21" t="n">
        <f aca="false">G282/H282</f>
        <v>0.166666666666667</v>
      </c>
      <c r="L282" s="21" t="n">
        <f aca="false">I282/J282</f>
        <v>0.0238095238095238</v>
      </c>
      <c r="M282" s="20" t="n">
        <v>0</v>
      </c>
      <c r="N282" s="22" t="s">
        <v>120</v>
      </c>
    </row>
    <row r="283" customFormat="false" ht="64.9" hidden="false" customHeight="false" outlineLevel="0" collapsed="false">
      <c r="A283" s="19" t="s">
        <v>35</v>
      </c>
      <c r="B283" s="19" t="s">
        <v>42</v>
      </c>
      <c r="C283" s="19" t="s">
        <v>43</v>
      </c>
      <c r="D283" s="19" t="s">
        <v>83</v>
      </c>
      <c r="E283" s="19" t="s">
        <v>84</v>
      </c>
      <c r="F283" s="19" t="s">
        <v>318</v>
      </c>
      <c r="G283" s="20" t="n">
        <v>1</v>
      </c>
      <c r="H283" s="20" t="n">
        <v>8</v>
      </c>
      <c r="I283" s="20" t="n">
        <v>1</v>
      </c>
      <c r="J283" s="20" t="n">
        <v>53</v>
      </c>
      <c r="K283" s="21" t="n">
        <f aca="false">G283/H283</f>
        <v>0.125</v>
      </c>
      <c r="L283" s="21" t="n">
        <f aca="false">I283/J283</f>
        <v>0.0188679245283019</v>
      </c>
      <c r="M283" s="20" t="n">
        <v>0</v>
      </c>
      <c r="N283" s="22" t="s">
        <v>122</v>
      </c>
    </row>
    <row r="284" customFormat="false" ht="64.9" hidden="false" customHeight="false" outlineLevel="0" collapsed="false">
      <c r="A284" s="19" t="s">
        <v>35</v>
      </c>
      <c r="B284" s="19" t="s">
        <v>42</v>
      </c>
      <c r="C284" s="19" t="s">
        <v>43</v>
      </c>
      <c r="D284" s="19" t="s">
        <v>87</v>
      </c>
      <c r="E284" s="19" t="s">
        <v>88</v>
      </c>
      <c r="F284" s="19" t="s">
        <v>319</v>
      </c>
      <c r="G284" s="20" t="n">
        <v>2</v>
      </c>
      <c r="H284" s="20" t="n">
        <v>8</v>
      </c>
      <c r="I284" s="20" t="n">
        <v>13</v>
      </c>
      <c r="J284" s="20" t="n">
        <v>69</v>
      </c>
      <c r="K284" s="21" t="n">
        <f aca="false">G284/H284</f>
        <v>0.25</v>
      </c>
      <c r="L284" s="21" t="n">
        <f aca="false">I284/J284</f>
        <v>0.188405797101449</v>
      </c>
      <c r="M284" s="20" t="n">
        <v>0</v>
      </c>
      <c r="N284" s="22" t="s">
        <v>124</v>
      </c>
    </row>
    <row r="285" customFormat="false" ht="64.9" hidden="false" customHeight="false" outlineLevel="0" collapsed="false">
      <c r="A285" s="19" t="s">
        <v>35</v>
      </c>
      <c r="B285" s="19" t="s">
        <v>42</v>
      </c>
      <c r="C285" s="19" t="s">
        <v>43</v>
      </c>
      <c r="D285" s="19" t="s">
        <v>91</v>
      </c>
      <c r="E285" s="19" t="s">
        <v>92</v>
      </c>
      <c r="F285" s="19" t="s">
        <v>190</v>
      </c>
      <c r="G285" s="20" t="n">
        <v>0</v>
      </c>
      <c r="H285" s="20" t="n">
        <v>10</v>
      </c>
      <c r="I285" s="20" t="n">
        <v>0</v>
      </c>
      <c r="J285" s="20" t="n">
        <v>55</v>
      </c>
      <c r="K285" s="21" t="n">
        <f aca="false">G285/H285</f>
        <v>0</v>
      </c>
      <c r="L285" s="21" t="n">
        <f aca="false">I285/J285</f>
        <v>0</v>
      </c>
      <c r="M285" s="20" t="n">
        <v>0</v>
      </c>
      <c r="N285" s="22" t="s">
        <v>126</v>
      </c>
    </row>
    <row r="286" customFormat="false" ht="64.9" hidden="false" customHeight="false" outlineLevel="0" collapsed="false">
      <c r="A286" s="19" t="s">
        <v>35</v>
      </c>
      <c r="B286" s="19" t="s">
        <v>42</v>
      </c>
      <c r="C286" s="19" t="s">
        <v>43</v>
      </c>
      <c r="D286" s="19" t="s">
        <v>95</v>
      </c>
      <c r="E286" s="19" t="s">
        <v>96</v>
      </c>
      <c r="F286" s="19" t="s">
        <v>263</v>
      </c>
      <c r="G286" s="20" t="n">
        <v>1</v>
      </c>
      <c r="H286" s="20" t="n">
        <v>9</v>
      </c>
      <c r="I286" s="20" t="n">
        <v>1</v>
      </c>
      <c r="J286" s="20" t="n">
        <v>44</v>
      </c>
      <c r="K286" s="21" t="n">
        <f aca="false">G286/H286</f>
        <v>0.111111111111111</v>
      </c>
      <c r="L286" s="21" t="n">
        <f aca="false">I286/J286</f>
        <v>0.0227272727272727</v>
      </c>
      <c r="M286" s="20" t="n">
        <v>0</v>
      </c>
      <c r="N286" s="22" t="s">
        <v>128</v>
      </c>
    </row>
    <row r="287" customFormat="false" ht="64.9" hidden="false" customHeight="false" outlineLevel="0" collapsed="false">
      <c r="A287" s="19" t="s">
        <v>35</v>
      </c>
      <c r="B287" s="19" t="s">
        <v>42</v>
      </c>
      <c r="C287" s="19" t="s">
        <v>43</v>
      </c>
      <c r="D287" s="19" t="s">
        <v>99</v>
      </c>
      <c r="E287" s="19" t="s">
        <v>100</v>
      </c>
      <c r="F287" s="19" t="s">
        <v>264</v>
      </c>
      <c r="G287" s="20" t="n">
        <v>0</v>
      </c>
      <c r="H287" s="20" t="n">
        <v>6</v>
      </c>
      <c r="I287" s="20" t="n">
        <v>0</v>
      </c>
      <c r="J287" s="20" t="n">
        <v>35</v>
      </c>
      <c r="K287" s="21" t="n">
        <f aca="false">G287/H287</f>
        <v>0</v>
      </c>
      <c r="L287" s="21" t="n">
        <f aca="false">I287/J287</f>
        <v>0</v>
      </c>
      <c r="M287" s="20" t="n">
        <v>0</v>
      </c>
      <c r="N287" s="22" t="s">
        <v>130</v>
      </c>
    </row>
    <row r="288" customFormat="false" ht="64.9" hidden="false" customHeight="false" outlineLevel="0" collapsed="false">
      <c r="A288" s="19" t="s">
        <v>35</v>
      </c>
      <c r="B288" s="19" t="s">
        <v>42</v>
      </c>
      <c r="C288" s="19" t="s">
        <v>43</v>
      </c>
      <c r="D288" s="19" t="s">
        <v>103</v>
      </c>
      <c r="E288" s="19" t="s">
        <v>131</v>
      </c>
      <c r="F288" s="19" t="s">
        <v>265</v>
      </c>
      <c r="G288" s="20" t="n">
        <v>0</v>
      </c>
      <c r="H288" s="20" t="n">
        <v>10</v>
      </c>
      <c r="I288" s="20" t="n">
        <v>0</v>
      </c>
      <c r="J288" s="20" t="n">
        <v>58</v>
      </c>
      <c r="K288" s="21" t="n">
        <f aca="false">G288/H288</f>
        <v>0</v>
      </c>
      <c r="L288" s="21" t="n">
        <f aca="false">I288/J288</f>
        <v>0</v>
      </c>
      <c r="M288" s="20" t="n">
        <v>0</v>
      </c>
      <c r="N288" s="22" t="s">
        <v>133</v>
      </c>
    </row>
    <row r="289" customFormat="false" ht="64.9" hidden="false" customHeight="false" outlineLevel="0" collapsed="false">
      <c r="A289" s="19" t="s">
        <v>35</v>
      </c>
      <c r="B289" s="19" t="s">
        <v>42</v>
      </c>
      <c r="C289" s="19" t="s">
        <v>43</v>
      </c>
      <c r="D289" s="19" t="s">
        <v>107</v>
      </c>
      <c r="E289" s="19" t="s">
        <v>108</v>
      </c>
      <c r="F289" s="19" t="s">
        <v>320</v>
      </c>
      <c r="G289" s="20" t="n">
        <v>5</v>
      </c>
      <c r="H289" s="20" t="n">
        <v>11</v>
      </c>
      <c r="I289" s="20" t="n">
        <v>7</v>
      </c>
      <c r="J289" s="20" t="n">
        <v>60</v>
      </c>
      <c r="K289" s="21" t="n">
        <f aca="false">G289/H289</f>
        <v>0.454545454545455</v>
      </c>
      <c r="L289" s="21" t="n">
        <f aca="false">I289/J289</f>
        <v>0.116666666666667</v>
      </c>
      <c r="M289" s="20" t="n">
        <v>0</v>
      </c>
      <c r="N289" s="22" t="s">
        <v>135</v>
      </c>
    </row>
    <row r="290" customFormat="false" ht="64.9" hidden="false" customHeight="false" outlineLevel="0" collapsed="false">
      <c r="A290" s="19" t="s">
        <v>35</v>
      </c>
      <c r="B290" s="19" t="s">
        <v>42</v>
      </c>
      <c r="C290" s="19" t="s">
        <v>43</v>
      </c>
      <c r="D290" s="19" t="s">
        <v>111</v>
      </c>
      <c r="E290" s="19" t="s">
        <v>112</v>
      </c>
      <c r="F290" s="19" t="s">
        <v>321</v>
      </c>
      <c r="G290" s="20" t="n">
        <v>2</v>
      </c>
      <c r="H290" s="20" t="n">
        <v>8</v>
      </c>
      <c r="I290" s="20" t="n">
        <v>1</v>
      </c>
      <c r="J290" s="20" t="n">
        <v>53</v>
      </c>
      <c r="K290" s="21" t="n">
        <f aca="false">G290/H290</f>
        <v>0.25</v>
      </c>
      <c r="L290" s="21" t="n">
        <f aca="false">I290/J290</f>
        <v>0.0188679245283019</v>
      </c>
      <c r="M290" s="20" t="n">
        <v>0</v>
      </c>
      <c r="N290" s="22" t="s">
        <v>137</v>
      </c>
    </row>
    <row r="291" customFormat="false" ht="64.9" hidden="false" customHeight="false" outlineLevel="0" collapsed="false">
      <c r="A291" s="19" t="s">
        <v>35</v>
      </c>
      <c r="B291" s="19" t="s">
        <v>42</v>
      </c>
      <c r="C291" s="19" t="s">
        <v>43</v>
      </c>
      <c r="D291" s="19" t="s">
        <v>115</v>
      </c>
      <c r="E291" s="19" t="s">
        <v>116</v>
      </c>
      <c r="F291" s="19" t="s">
        <v>322</v>
      </c>
      <c r="G291" s="20" t="n">
        <v>3</v>
      </c>
      <c r="H291" s="20" t="n">
        <v>12</v>
      </c>
      <c r="I291" s="20" t="n">
        <v>3</v>
      </c>
      <c r="J291" s="20" t="n">
        <v>73</v>
      </c>
      <c r="K291" s="21" t="n">
        <f aca="false">G291/H291</f>
        <v>0.25</v>
      </c>
      <c r="L291" s="21" t="n">
        <f aca="false">I291/J291</f>
        <v>0.0410958904109589</v>
      </c>
      <c r="M291" s="20" t="n">
        <v>0</v>
      </c>
      <c r="N291" s="22" t="s">
        <v>139</v>
      </c>
    </row>
    <row r="292" customFormat="false" ht="52.2" hidden="false" customHeight="false" outlineLevel="0" collapsed="false">
      <c r="A292" s="19" t="s">
        <v>35</v>
      </c>
      <c r="B292" s="19" t="s">
        <v>44</v>
      </c>
      <c r="C292" s="19" t="s">
        <v>45</v>
      </c>
      <c r="D292" s="19" t="s">
        <v>79</v>
      </c>
      <c r="E292" s="19" t="s">
        <v>80</v>
      </c>
      <c r="F292" s="19" t="s">
        <v>323</v>
      </c>
      <c r="G292" s="20" t="n">
        <v>1</v>
      </c>
      <c r="H292" s="20" t="n">
        <v>6</v>
      </c>
      <c r="I292" s="20" t="n">
        <v>1</v>
      </c>
      <c r="J292" s="20" t="n">
        <v>42</v>
      </c>
      <c r="K292" s="21" t="n">
        <f aca="false">G292/H292</f>
        <v>0.166666666666667</v>
      </c>
      <c r="L292" s="21" t="n">
        <f aca="false">I292/J292</f>
        <v>0.0238095238095238</v>
      </c>
      <c r="M292" s="20" t="n">
        <v>0</v>
      </c>
      <c r="N292" s="22" t="s">
        <v>141</v>
      </c>
    </row>
    <row r="293" customFormat="false" ht="52.2" hidden="false" customHeight="false" outlineLevel="0" collapsed="false">
      <c r="A293" s="19" t="s">
        <v>35</v>
      </c>
      <c r="B293" s="19" t="s">
        <v>44</v>
      </c>
      <c r="C293" s="19" t="s">
        <v>45</v>
      </c>
      <c r="D293" s="19" t="s">
        <v>83</v>
      </c>
      <c r="E293" s="19" t="s">
        <v>84</v>
      </c>
      <c r="F293" s="19" t="s">
        <v>324</v>
      </c>
      <c r="G293" s="20" t="n">
        <v>3</v>
      </c>
      <c r="H293" s="20" t="n">
        <v>8</v>
      </c>
      <c r="I293" s="20" t="n">
        <v>4</v>
      </c>
      <c r="J293" s="20" t="n">
        <v>53</v>
      </c>
      <c r="K293" s="21" t="n">
        <f aca="false">G293/H293</f>
        <v>0.375</v>
      </c>
      <c r="L293" s="21" t="n">
        <f aca="false">I293/J293</f>
        <v>0.0754716981132075</v>
      </c>
      <c r="M293" s="20" t="n">
        <v>0</v>
      </c>
      <c r="N293" s="22" t="s">
        <v>143</v>
      </c>
    </row>
    <row r="294" customFormat="false" ht="52.2" hidden="false" customHeight="false" outlineLevel="0" collapsed="false">
      <c r="A294" s="19" t="s">
        <v>35</v>
      </c>
      <c r="B294" s="19" t="s">
        <v>44</v>
      </c>
      <c r="C294" s="19" t="s">
        <v>45</v>
      </c>
      <c r="D294" s="19" t="s">
        <v>87</v>
      </c>
      <c r="E294" s="19" t="s">
        <v>88</v>
      </c>
      <c r="F294" s="19" t="s">
        <v>325</v>
      </c>
      <c r="G294" s="20" t="n">
        <v>3</v>
      </c>
      <c r="H294" s="20" t="n">
        <v>8</v>
      </c>
      <c r="I294" s="20" t="n">
        <v>11</v>
      </c>
      <c r="J294" s="20" t="n">
        <v>69</v>
      </c>
      <c r="K294" s="21" t="n">
        <f aca="false">G294/H294</f>
        <v>0.375</v>
      </c>
      <c r="L294" s="21" t="n">
        <f aca="false">I294/J294</f>
        <v>0.159420289855072</v>
      </c>
      <c r="M294" s="20" t="n">
        <v>0</v>
      </c>
      <c r="N294" s="22" t="s">
        <v>145</v>
      </c>
    </row>
    <row r="295" customFormat="false" ht="52.2" hidden="false" customHeight="false" outlineLevel="0" collapsed="false">
      <c r="A295" s="19" t="s">
        <v>35</v>
      </c>
      <c r="B295" s="19" t="s">
        <v>44</v>
      </c>
      <c r="C295" s="19" t="s">
        <v>45</v>
      </c>
      <c r="D295" s="19" t="s">
        <v>91</v>
      </c>
      <c r="E295" s="19" t="s">
        <v>92</v>
      </c>
      <c r="F295" s="19" t="s">
        <v>313</v>
      </c>
      <c r="G295" s="20" t="n">
        <v>1</v>
      </c>
      <c r="H295" s="20" t="n">
        <v>10</v>
      </c>
      <c r="I295" s="20" t="n">
        <v>1</v>
      </c>
      <c r="J295" s="20" t="n">
        <v>55</v>
      </c>
      <c r="K295" s="21" t="n">
        <f aca="false">G295/H295</f>
        <v>0.1</v>
      </c>
      <c r="L295" s="21" t="n">
        <f aca="false">I295/J295</f>
        <v>0.0181818181818182</v>
      </c>
      <c r="M295" s="20" t="n">
        <v>0</v>
      </c>
      <c r="N295" s="22" t="s">
        <v>147</v>
      </c>
    </row>
    <row r="296" customFormat="false" ht="52.2" hidden="false" customHeight="false" outlineLevel="0" collapsed="false">
      <c r="A296" s="19" t="s">
        <v>35</v>
      </c>
      <c r="B296" s="19" t="s">
        <v>44</v>
      </c>
      <c r="C296" s="19" t="s">
        <v>45</v>
      </c>
      <c r="D296" s="19" t="s">
        <v>95</v>
      </c>
      <c r="E296" s="19" t="s">
        <v>96</v>
      </c>
      <c r="F296" s="19" t="s">
        <v>272</v>
      </c>
      <c r="G296" s="20" t="n">
        <v>0</v>
      </c>
      <c r="H296" s="20" t="n">
        <v>9</v>
      </c>
      <c r="I296" s="20" t="n">
        <v>0</v>
      </c>
      <c r="J296" s="20" t="n">
        <v>44</v>
      </c>
      <c r="K296" s="21" t="n">
        <f aca="false">G296/H296</f>
        <v>0</v>
      </c>
      <c r="L296" s="21" t="n">
        <f aca="false">I296/J296</f>
        <v>0</v>
      </c>
      <c r="M296" s="20" t="n">
        <v>0</v>
      </c>
      <c r="N296" s="22" t="s">
        <v>149</v>
      </c>
    </row>
    <row r="297" customFormat="false" ht="52.2" hidden="false" customHeight="false" outlineLevel="0" collapsed="false">
      <c r="A297" s="19" t="s">
        <v>35</v>
      </c>
      <c r="B297" s="19" t="s">
        <v>44</v>
      </c>
      <c r="C297" s="19" t="s">
        <v>45</v>
      </c>
      <c r="D297" s="19" t="s">
        <v>99</v>
      </c>
      <c r="E297" s="19" t="s">
        <v>100</v>
      </c>
      <c r="F297" s="19" t="s">
        <v>264</v>
      </c>
      <c r="G297" s="20" t="n">
        <v>0</v>
      </c>
      <c r="H297" s="20" t="n">
        <v>6</v>
      </c>
      <c r="I297" s="20" t="n">
        <v>0</v>
      </c>
      <c r="J297" s="20" t="n">
        <v>35</v>
      </c>
      <c r="K297" s="21" t="n">
        <f aca="false">G297/H297</f>
        <v>0</v>
      </c>
      <c r="L297" s="21" t="n">
        <f aca="false">I297/J297</f>
        <v>0</v>
      </c>
      <c r="M297" s="20" t="n">
        <v>0</v>
      </c>
      <c r="N297" s="22" t="s">
        <v>151</v>
      </c>
    </row>
    <row r="298" customFormat="false" ht="52.2" hidden="false" customHeight="false" outlineLevel="0" collapsed="false">
      <c r="A298" s="19" t="s">
        <v>35</v>
      </c>
      <c r="B298" s="19" t="s">
        <v>44</v>
      </c>
      <c r="C298" s="19" t="s">
        <v>45</v>
      </c>
      <c r="D298" s="19" t="s">
        <v>103</v>
      </c>
      <c r="E298" s="19" t="s">
        <v>131</v>
      </c>
      <c r="F298" s="19" t="s">
        <v>326</v>
      </c>
      <c r="G298" s="20" t="n">
        <v>6</v>
      </c>
      <c r="H298" s="20" t="n">
        <v>10</v>
      </c>
      <c r="I298" s="20" t="n">
        <v>3</v>
      </c>
      <c r="J298" s="20" t="n">
        <v>58</v>
      </c>
      <c r="K298" s="21" t="n">
        <f aca="false">G298/H298</f>
        <v>0.6</v>
      </c>
      <c r="L298" s="21" t="n">
        <f aca="false">I298/J298</f>
        <v>0.0517241379310345</v>
      </c>
      <c r="M298" s="20" t="n">
        <v>0</v>
      </c>
      <c r="N298" s="22" t="s">
        <v>153</v>
      </c>
    </row>
    <row r="299" customFormat="false" ht="52.2" hidden="false" customHeight="false" outlineLevel="0" collapsed="false">
      <c r="A299" s="19" t="s">
        <v>35</v>
      </c>
      <c r="B299" s="19" t="s">
        <v>44</v>
      </c>
      <c r="C299" s="19" t="s">
        <v>45</v>
      </c>
      <c r="D299" s="19" t="s">
        <v>107</v>
      </c>
      <c r="E299" s="19" t="s">
        <v>108</v>
      </c>
      <c r="F299" s="19" t="s">
        <v>327</v>
      </c>
      <c r="G299" s="20" t="n">
        <v>7</v>
      </c>
      <c r="H299" s="20" t="n">
        <v>11</v>
      </c>
      <c r="I299" s="20" t="n">
        <v>12</v>
      </c>
      <c r="J299" s="20" t="n">
        <v>60</v>
      </c>
      <c r="K299" s="21" t="n">
        <f aca="false">G299/H299</f>
        <v>0.636363636363636</v>
      </c>
      <c r="L299" s="21" t="n">
        <f aca="false">I299/J299</f>
        <v>0.2</v>
      </c>
      <c r="M299" s="20" t="n">
        <v>0</v>
      </c>
      <c r="N299" s="22" t="s">
        <v>155</v>
      </c>
    </row>
    <row r="300" customFormat="false" ht="52.2" hidden="false" customHeight="false" outlineLevel="0" collapsed="false">
      <c r="A300" s="19" t="s">
        <v>35</v>
      </c>
      <c r="B300" s="19" t="s">
        <v>44</v>
      </c>
      <c r="C300" s="19" t="s">
        <v>45</v>
      </c>
      <c r="D300" s="19" t="s">
        <v>111</v>
      </c>
      <c r="E300" s="19" t="s">
        <v>112</v>
      </c>
      <c r="F300" s="19" t="s">
        <v>280</v>
      </c>
      <c r="G300" s="20" t="n">
        <v>0</v>
      </c>
      <c r="H300" s="20" t="n">
        <v>8</v>
      </c>
      <c r="I300" s="20" t="n">
        <v>0</v>
      </c>
      <c r="J300" s="20" t="n">
        <v>53</v>
      </c>
      <c r="K300" s="21" t="n">
        <f aca="false">G300/H300</f>
        <v>0</v>
      </c>
      <c r="L300" s="21" t="n">
        <f aca="false">I300/J300</f>
        <v>0</v>
      </c>
      <c r="M300" s="20" t="n">
        <v>0</v>
      </c>
      <c r="N300" s="22" t="s">
        <v>157</v>
      </c>
    </row>
    <row r="301" customFormat="false" ht="52.2" hidden="false" customHeight="false" outlineLevel="0" collapsed="false">
      <c r="A301" s="19" t="s">
        <v>35</v>
      </c>
      <c r="B301" s="19" t="s">
        <v>44</v>
      </c>
      <c r="C301" s="19" t="s">
        <v>45</v>
      </c>
      <c r="D301" s="19" t="s">
        <v>115</v>
      </c>
      <c r="E301" s="19" t="s">
        <v>116</v>
      </c>
      <c r="F301" s="19" t="s">
        <v>328</v>
      </c>
      <c r="G301" s="20" t="n">
        <v>5</v>
      </c>
      <c r="H301" s="20" t="n">
        <v>12</v>
      </c>
      <c r="I301" s="20" t="n">
        <v>4</v>
      </c>
      <c r="J301" s="20" t="n">
        <v>73</v>
      </c>
      <c r="K301" s="21" t="n">
        <f aca="false">G301/H301</f>
        <v>0.416666666666667</v>
      </c>
      <c r="L301" s="21" t="n">
        <f aca="false">I301/J301</f>
        <v>0.0547945205479452</v>
      </c>
      <c r="M301" s="20" t="n">
        <v>0</v>
      </c>
      <c r="N301" s="22" t="s">
        <v>159</v>
      </c>
    </row>
    <row r="302" customFormat="false" ht="52.2" hidden="false" customHeight="false" outlineLevel="0" collapsed="false">
      <c r="A302" s="19" t="s">
        <v>37</v>
      </c>
      <c r="B302" s="19" t="s">
        <v>40</v>
      </c>
      <c r="C302" s="19" t="s">
        <v>41</v>
      </c>
      <c r="D302" s="19" t="s">
        <v>79</v>
      </c>
      <c r="E302" s="19" t="s">
        <v>80</v>
      </c>
      <c r="F302" s="19" t="s">
        <v>329</v>
      </c>
      <c r="G302" s="20" t="n">
        <v>3</v>
      </c>
      <c r="H302" s="20" t="n">
        <v>6</v>
      </c>
      <c r="I302" s="20" t="n">
        <v>3</v>
      </c>
      <c r="J302" s="20" t="n">
        <v>42</v>
      </c>
      <c r="K302" s="21" t="n">
        <f aca="false">G302/H302</f>
        <v>0.5</v>
      </c>
      <c r="L302" s="21" t="n">
        <f aca="false">I302/J302</f>
        <v>0.0714285714285714</v>
      </c>
      <c r="M302" s="20" t="n">
        <v>0</v>
      </c>
      <c r="N302" s="22" t="s">
        <v>82</v>
      </c>
    </row>
    <row r="303" customFormat="false" ht="52.2" hidden="false" customHeight="false" outlineLevel="0" collapsed="false">
      <c r="A303" s="19" t="s">
        <v>37</v>
      </c>
      <c r="B303" s="19" t="s">
        <v>40</v>
      </c>
      <c r="C303" s="19" t="s">
        <v>41</v>
      </c>
      <c r="D303" s="19" t="s">
        <v>83</v>
      </c>
      <c r="E303" s="19" t="s">
        <v>84</v>
      </c>
      <c r="F303" s="19" t="s">
        <v>178</v>
      </c>
      <c r="G303" s="20" t="n">
        <v>3</v>
      </c>
      <c r="H303" s="20" t="n">
        <v>8</v>
      </c>
      <c r="I303" s="20" t="n">
        <v>4</v>
      </c>
      <c r="J303" s="20" t="n">
        <v>53</v>
      </c>
      <c r="K303" s="21" t="n">
        <f aca="false">G303/H303</f>
        <v>0.375</v>
      </c>
      <c r="L303" s="21" t="n">
        <f aca="false">I303/J303</f>
        <v>0.0754716981132075</v>
      </c>
      <c r="M303" s="20" t="n">
        <v>0</v>
      </c>
      <c r="N303" s="22" t="s">
        <v>86</v>
      </c>
    </row>
    <row r="304" customFormat="false" ht="52.2" hidden="false" customHeight="false" outlineLevel="0" collapsed="false">
      <c r="A304" s="19" t="s">
        <v>37</v>
      </c>
      <c r="B304" s="19" t="s">
        <v>40</v>
      </c>
      <c r="C304" s="19" t="s">
        <v>41</v>
      </c>
      <c r="D304" s="19" t="s">
        <v>87</v>
      </c>
      <c r="E304" s="19" t="s">
        <v>88</v>
      </c>
      <c r="F304" s="19" t="s">
        <v>330</v>
      </c>
      <c r="G304" s="20" t="n">
        <v>3</v>
      </c>
      <c r="H304" s="20" t="n">
        <v>8</v>
      </c>
      <c r="I304" s="20" t="n">
        <v>5</v>
      </c>
      <c r="J304" s="20" t="n">
        <v>69</v>
      </c>
      <c r="K304" s="21" t="n">
        <f aca="false">G304/H304</f>
        <v>0.375</v>
      </c>
      <c r="L304" s="21" t="n">
        <f aca="false">I304/J304</f>
        <v>0.072463768115942</v>
      </c>
      <c r="M304" s="20" t="n">
        <v>0</v>
      </c>
      <c r="N304" s="22" t="s">
        <v>90</v>
      </c>
    </row>
    <row r="305" customFormat="false" ht="52.2" hidden="false" customHeight="false" outlineLevel="0" collapsed="false">
      <c r="A305" s="19" t="s">
        <v>37</v>
      </c>
      <c r="B305" s="19" t="s">
        <v>40</v>
      </c>
      <c r="C305" s="19" t="s">
        <v>41</v>
      </c>
      <c r="D305" s="19" t="s">
        <v>91</v>
      </c>
      <c r="E305" s="19" t="s">
        <v>92</v>
      </c>
      <c r="F305" s="19" t="s">
        <v>309</v>
      </c>
      <c r="G305" s="20" t="n">
        <v>2</v>
      </c>
      <c r="H305" s="20" t="n">
        <v>10</v>
      </c>
      <c r="I305" s="20" t="n">
        <v>2</v>
      </c>
      <c r="J305" s="20" t="n">
        <v>55</v>
      </c>
      <c r="K305" s="21" t="n">
        <f aca="false">G305/H305</f>
        <v>0.2</v>
      </c>
      <c r="L305" s="21" t="n">
        <f aca="false">I305/J305</f>
        <v>0.0363636363636364</v>
      </c>
      <c r="M305" s="20" t="n">
        <v>0</v>
      </c>
      <c r="N305" s="22" t="s">
        <v>94</v>
      </c>
    </row>
    <row r="306" customFormat="false" ht="52.2" hidden="false" customHeight="false" outlineLevel="0" collapsed="false">
      <c r="A306" s="19" t="s">
        <v>37</v>
      </c>
      <c r="B306" s="19" t="s">
        <v>40</v>
      </c>
      <c r="C306" s="19" t="s">
        <v>41</v>
      </c>
      <c r="D306" s="19" t="s">
        <v>95</v>
      </c>
      <c r="E306" s="19" t="s">
        <v>96</v>
      </c>
      <c r="F306" s="19" t="s">
        <v>331</v>
      </c>
      <c r="G306" s="20" t="n">
        <v>3</v>
      </c>
      <c r="H306" s="20" t="n">
        <v>9</v>
      </c>
      <c r="I306" s="20" t="n">
        <v>5</v>
      </c>
      <c r="J306" s="20" t="n">
        <v>44</v>
      </c>
      <c r="K306" s="21" t="n">
        <f aca="false">G306/H306</f>
        <v>0.333333333333333</v>
      </c>
      <c r="L306" s="21" t="n">
        <f aca="false">I306/J306</f>
        <v>0.113636363636364</v>
      </c>
      <c r="M306" s="20" t="n">
        <v>0</v>
      </c>
      <c r="N306" s="22" t="s">
        <v>98</v>
      </c>
    </row>
    <row r="307" customFormat="false" ht="52.2" hidden="false" customHeight="false" outlineLevel="0" collapsed="false">
      <c r="A307" s="19" t="s">
        <v>37</v>
      </c>
      <c r="B307" s="19" t="s">
        <v>40</v>
      </c>
      <c r="C307" s="19" t="s">
        <v>41</v>
      </c>
      <c r="D307" s="19" t="s">
        <v>99</v>
      </c>
      <c r="E307" s="19" t="s">
        <v>100</v>
      </c>
      <c r="F307" s="19" t="s">
        <v>264</v>
      </c>
      <c r="G307" s="20" t="n">
        <v>0</v>
      </c>
      <c r="H307" s="20" t="n">
        <v>6</v>
      </c>
      <c r="I307" s="20" t="n">
        <v>0</v>
      </c>
      <c r="J307" s="20" t="n">
        <v>35</v>
      </c>
      <c r="K307" s="21" t="n">
        <f aca="false">G307/H307</f>
        <v>0</v>
      </c>
      <c r="L307" s="21" t="n">
        <f aca="false">I307/J307</f>
        <v>0</v>
      </c>
      <c r="M307" s="20" t="n">
        <v>0</v>
      </c>
      <c r="N307" s="22" t="s">
        <v>102</v>
      </c>
    </row>
    <row r="308" customFormat="false" ht="52.2" hidden="false" customHeight="false" outlineLevel="0" collapsed="false">
      <c r="A308" s="19" t="s">
        <v>37</v>
      </c>
      <c r="B308" s="19" t="s">
        <v>40</v>
      </c>
      <c r="C308" s="19" t="s">
        <v>41</v>
      </c>
      <c r="D308" s="19" t="s">
        <v>103</v>
      </c>
      <c r="E308" s="19" t="s">
        <v>104</v>
      </c>
      <c r="F308" s="19" t="s">
        <v>332</v>
      </c>
      <c r="G308" s="20" t="n">
        <v>6</v>
      </c>
      <c r="H308" s="20" t="n">
        <v>13</v>
      </c>
      <c r="I308" s="20" t="n">
        <v>4</v>
      </c>
      <c r="J308" s="20" t="n">
        <v>67</v>
      </c>
      <c r="K308" s="21" t="n">
        <f aca="false">G308/H308</f>
        <v>0.461538461538462</v>
      </c>
      <c r="L308" s="21" t="n">
        <f aca="false">I308/J308</f>
        <v>0.0597014925373134</v>
      </c>
      <c r="M308" s="20" t="n">
        <v>0</v>
      </c>
      <c r="N308" s="22" t="s">
        <v>106</v>
      </c>
    </row>
    <row r="309" customFormat="false" ht="52.2" hidden="false" customHeight="false" outlineLevel="0" collapsed="false">
      <c r="A309" s="19" t="s">
        <v>37</v>
      </c>
      <c r="B309" s="19" t="s">
        <v>40</v>
      </c>
      <c r="C309" s="19" t="s">
        <v>41</v>
      </c>
      <c r="D309" s="19" t="s">
        <v>107</v>
      </c>
      <c r="E309" s="19" t="s">
        <v>108</v>
      </c>
      <c r="F309" s="19" t="s">
        <v>333</v>
      </c>
      <c r="G309" s="20" t="n">
        <v>7</v>
      </c>
      <c r="H309" s="20" t="n">
        <v>11</v>
      </c>
      <c r="I309" s="20" t="n">
        <v>6</v>
      </c>
      <c r="J309" s="20" t="n">
        <v>60</v>
      </c>
      <c r="K309" s="21" t="n">
        <f aca="false">G309/H309</f>
        <v>0.636363636363636</v>
      </c>
      <c r="L309" s="21" t="n">
        <f aca="false">I309/J309</f>
        <v>0.1</v>
      </c>
      <c r="M309" s="20" t="n">
        <v>0</v>
      </c>
      <c r="N309" s="22" t="s">
        <v>110</v>
      </c>
    </row>
    <row r="310" customFormat="false" ht="52.2" hidden="false" customHeight="false" outlineLevel="0" collapsed="false">
      <c r="A310" s="19" t="s">
        <v>37</v>
      </c>
      <c r="B310" s="19" t="s">
        <v>40</v>
      </c>
      <c r="C310" s="19" t="s">
        <v>41</v>
      </c>
      <c r="D310" s="19" t="s">
        <v>111</v>
      </c>
      <c r="E310" s="19" t="s">
        <v>112</v>
      </c>
      <c r="F310" s="19" t="s">
        <v>334</v>
      </c>
      <c r="G310" s="20" t="n">
        <v>4</v>
      </c>
      <c r="H310" s="20" t="n">
        <v>8</v>
      </c>
      <c r="I310" s="20" t="n">
        <v>3</v>
      </c>
      <c r="J310" s="20" t="n">
        <v>53</v>
      </c>
      <c r="K310" s="21" t="n">
        <f aca="false">G310/H310</f>
        <v>0.5</v>
      </c>
      <c r="L310" s="21" t="n">
        <f aca="false">I310/J310</f>
        <v>0.0566037735849057</v>
      </c>
      <c r="M310" s="20" t="n">
        <v>0</v>
      </c>
      <c r="N310" s="22" t="s">
        <v>114</v>
      </c>
    </row>
    <row r="311" customFormat="false" ht="52.2" hidden="false" customHeight="false" outlineLevel="0" collapsed="false">
      <c r="A311" s="19" t="s">
        <v>37</v>
      </c>
      <c r="B311" s="19" t="s">
        <v>40</v>
      </c>
      <c r="C311" s="19" t="s">
        <v>41</v>
      </c>
      <c r="D311" s="19" t="s">
        <v>115</v>
      </c>
      <c r="E311" s="19" t="s">
        <v>116</v>
      </c>
      <c r="F311" s="19" t="s">
        <v>335</v>
      </c>
      <c r="G311" s="20" t="n">
        <v>4</v>
      </c>
      <c r="H311" s="20" t="n">
        <v>12</v>
      </c>
      <c r="I311" s="20" t="n">
        <v>3</v>
      </c>
      <c r="J311" s="20" t="n">
        <v>73</v>
      </c>
      <c r="K311" s="21" t="n">
        <f aca="false">G311/H311</f>
        <v>0.333333333333333</v>
      </c>
      <c r="L311" s="21" t="n">
        <f aca="false">I311/J311</f>
        <v>0.0410958904109589</v>
      </c>
      <c r="M311" s="20" t="n">
        <v>0</v>
      </c>
      <c r="N311" s="22" t="s">
        <v>118</v>
      </c>
    </row>
    <row r="312" customFormat="false" ht="64.9" hidden="false" customHeight="false" outlineLevel="0" collapsed="false">
      <c r="A312" s="19" t="s">
        <v>37</v>
      </c>
      <c r="B312" s="19" t="s">
        <v>42</v>
      </c>
      <c r="C312" s="19" t="s">
        <v>43</v>
      </c>
      <c r="D312" s="19" t="s">
        <v>79</v>
      </c>
      <c r="E312" s="19" t="s">
        <v>80</v>
      </c>
      <c r="F312" s="19" t="s">
        <v>294</v>
      </c>
      <c r="G312" s="20" t="n">
        <v>2</v>
      </c>
      <c r="H312" s="20" t="n">
        <v>6</v>
      </c>
      <c r="I312" s="20" t="n">
        <v>2</v>
      </c>
      <c r="J312" s="20" t="n">
        <v>42</v>
      </c>
      <c r="K312" s="21" t="n">
        <f aca="false">G312/H312</f>
        <v>0.333333333333333</v>
      </c>
      <c r="L312" s="21" t="n">
        <f aca="false">I312/J312</f>
        <v>0.0476190476190476</v>
      </c>
      <c r="M312" s="20" t="n">
        <v>0</v>
      </c>
      <c r="N312" s="22" t="s">
        <v>120</v>
      </c>
    </row>
    <row r="313" customFormat="false" ht="64.9" hidden="false" customHeight="false" outlineLevel="0" collapsed="false">
      <c r="A313" s="19" t="s">
        <v>37</v>
      </c>
      <c r="B313" s="19" t="s">
        <v>42</v>
      </c>
      <c r="C313" s="19" t="s">
        <v>43</v>
      </c>
      <c r="D313" s="19" t="s">
        <v>83</v>
      </c>
      <c r="E313" s="19" t="s">
        <v>84</v>
      </c>
      <c r="F313" s="19" t="s">
        <v>336</v>
      </c>
      <c r="G313" s="20" t="n">
        <v>4</v>
      </c>
      <c r="H313" s="20" t="n">
        <v>8</v>
      </c>
      <c r="I313" s="20" t="n">
        <v>5</v>
      </c>
      <c r="J313" s="20" t="n">
        <v>53</v>
      </c>
      <c r="K313" s="21" t="n">
        <f aca="false">G313/H313</f>
        <v>0.5</v>
      </c>
      <c r="L313" s="21" t="n">
        <f aca="false">I313/J313</f>
        <v>0.0943396226415094</v>
      </c>
      <c r="M313" s="20" t="n">
        <v>0</v>
      </c>
      <c r="N313" s="22" t="s">
        <v>122</v>
      </c>
    </row>
    <row r="314" customFormat="false" ht="64.9" hidden="false" customHeight="false" outlineLevel="0" collapsed="false">
      <c r="A314" s="19" t="s">
        <v>37</v>
      </c>
      <c r="B314" s="19" t="s">
        <v>42</v>
      </c>
      <c r="C314" s="19" t="s">
        <v>43</v>
      </c>
      <c r="D314" s="19" t="s">
        <v>87</v>
      </c>
      <c r="E314" s="19" t="s">
        <v>88</v>
      </c>
      <c r="F314" s="19" t="s">
        <v>337</v>
      </c>
      <c r="G314" s="20" t="n">
        <v>1</v>
      </c>
      <c r="H314" s="20" t="n">
        <v>8</v>
      </c>
      <c r="I314" s="20" t="n">
        <v>3</v>
      </c>
      <c r="J314" s="20" t="n">
        <v>69</v>
      </c>
      <c r="K314" s="21" t="n">
        <f aca="false">G314/H314</f>
        <v>0.125</v>
      </c>
      <c r="L314" s="21" t="n">
        <f aca="false">I314/J314</f>
        <v>0.0434782608695652</v>
      </c>
      <c r="M314" s="20" t="n">
        <v>0</v>
      </c>
      <c r="N314" s="22" t="s">
        <v>124</v>
      </c>
    </row>
    <row r="315" customFormat="false" ht="64.9" hidden="false" customHeight="false" outlineLevel="0" collapsed="false">
      <c r="A315" s="19" t="s">
        <v>37</v>
      </c>
      <c r="B315" s="19" t="s">
        <v>42</v>
      </c>
      <c r="C315" s="19" t="s">
        <v>43</v>
      </c>
      <c r="D315" s="19" t="s">
        <v>91</v>
      </c>
      <c r="E315" s="19" t="s">
        <v>92</v>
      </c>
      <c r="F315" s="19" t="s">
        <v>338</v>
      </c>
      <c r="G315" s="20" t="n">
        <v>1</v>
      </c>
      <c r="H315" s="20" t="n">
        <v>10</v>
      </c>
      <c r="I315" s="20" t="n">
        <v>1</v>
      </c>
      <c r="J315" s="20" t="n">
        <v>55</v>
      </c>
      <c r="K315" s="21" t="n">
        <f aca="false">G315/H315</f>
        <v>0.1</v>
      </c>
      <c r="L315" s="21" t="n">
        <f aca="false">I315/J315</f>
        <v>0.0181818181818182</v>
      </c>
      <c r="M315" s="20" t="n">
        <v>0</v>
      </c>
      <c r="N315" s="22" t="s">
        <v>126</v>
      </c>
    </row>
    <row r="316" customFormat="false" ht="64.9" hidden="false" customHeight="false" outlineLevel="0" collapsed="false">
      <c r="A316" s="19" t="s">
        <v>37</v>
      </c>
      <c r="B316" s="19" t="s">
        <v>42</v>
      </c>
      <c r="C316" s="19" t="s">
        <v>43</v>
      </c>
      <c r="D316" s="19" t="s">
        <v>95</v>
      </c>
      <c r="E316" s="19" t="s">
        <v>96</v>
      </c>
      <c r="F316" s="19" t="s">
        <v>295</v>
      </c>
      <c r="G316" s="20" t="n">
        <v>2</v>
      </c>
      <c r="H316" s="20" t="n">
        <v>9</v>
      </c>
      <c r="I316" s="20" t="n">
        <v>2</v>
      </c>
      <c r="J316" s="20" t="n">
        <v>44</v>
      </c>
      <c r="K316" s="21" t="n">
        <f aca="false">G316/H316</f>
        <v>0.222222222222222</v>
      </c>
      <c r="L316" s="21" t="n">
        <f aca="false">I316/J316</f>
        <v>0.0454545454545455</v>
      </c>
      <c r="M316" s="20" t="n">
        <v>0</v>
      </c>
      <c r="N316" s="22" t="s">
        <v>128</v>
      </c>
    </row>
    <row r="317" customFormat="false" ht="64.9" hidden="false" customHeight="false" outlineLevel="0" collapsed="false">
      <c r="A317" s="19" t="s">
        <v>37</v>
      </c>
      <c r="B317" s="19" t="s">
        <v>42</v>
      </c>
      <c r="C317" s="19" t="s">
        <v>43</v>
      </c>
      <c r="D317" s="19" t="s">
        <v>99</v>
      </c>
      <c r="E317" s="19" t="s">
        <v>100</v>
      </c>
      <c r="F317" s="19" t="s">
        <v>264</v>
      </c>
      <c r="G317" s="20" t="n">
        <v>0</v>
      </c>
      <c r="H317" s="20" t="n">
        <v>6</v>
      </c>
      <c r="I317" s="20" t="n">
        <v>0</v>
      </c>
      <c r="J317" s="20" t="n">
        <v>35</v>
      </c>
      <c r="K317" s="21" t="n">
        <f aca="false">G317/H317</f>
        <v>0</v>
      </c>
      <c r="L317" s="21" t="n">
        <f aca="false">I317/J317</f>
        <v>0</v>
      </c>
      <c r="M317" s="20" t="n">
        <v>0</v>
      </c>
      <c r="N317" s="22" t="s">
        <v>130</v>
      </c>
    </row>
    <row r="318" customFormat="false" ht="64.9" hidden="false" customHeight="false" outlineLevel="0" collapsed="false">
      <c r="A318" s="19" t="s">
        <v>37</v>
      </c>
      <c r="B318" s="19" t="s">
        <v>42</v>
      </c>
      <c r="C318" s="19" t="s">
        <v>43</v>
      </c>
      <c r="D318" s="19" t="s">
        <v>103</v>
      </c>
      <c r="E318" s="19" t="s">
        <v>131</v>
      </c>
      <c r="F318" s="19" t="s">
        <v>282</v>
      </c>
      <c r="G318" s="20" t="n">
        <v>2</v>
      </c>
      <c r="H318" s="20" t="n">
        <v>10</v>
      </c>
      <c r="I318" s="20" t="n">
        <v>1</v>
      </c>
      <c r="J318" s="20" t="n">
        <v>58</v>
      </c>
      <c r="K318" s="21" t="n">
        <f aca="false">G318/H318</f>
        <v>0.2</v>
      </c>
      <c r="L318" s="21" t="n">
        <f aca="false">I318/J318</f>
        <v>0.0172413793103448</v>
      </c>
      <c r="M318" s="20" t="n">
        <v>0</v>
      </c>
      <c r="N318" s="22" t="s">
        <v>133</v>
      </c>
    </row>
    <row r="319" customFormat="false" ht="64.9" hidden="false" customHeight="false" outlineLevel="0" collapsed="false">
      <c r="A319" s="19" t="s">
        <v>37</v>
      </c>
      <c r="B319" s="19" t="s">
        <v>42</v>
      </c>
      <c r="C319" s="19" t="s">
        <v>43</v>
      </c>
      <c r="D319" s="19" t="s">
        <v>107</v>
      </c>
      <c r="E319" s="19" t="s">
        <v>108</v>
      </c>
      <c r="F319" s="19" t="s">
        <v>339</v>
      </c>
      <c r="G319" s="20" t="n">
        <v>5</v>
      </c>
      <c r="H319" s="20" t="n">
        <v>11</v>
      </c>
      <c r="I319" s="20" t="n">
        <v>4</v>
      </c>
      <c r="J319" s="20" t="n">
        <v>60</v>
      </c>
      <c r="K319" s="21" t="n">
        <f aca="false">G319/H319</f>
        <v>0.454545454545455</v>
      </c>
      <c r="L319" s="21" t="n">
        <f aca="false">I319/J319</f>
        <v>0.0666666666666667</v>
      </c>
      <c r="M319" s="20" t="n">
        <v>0</v>
      </c>
      <c r="N319" s="22" t="s">
        <v>135</v>
      </c>
    </row>
    <row r="320" customFormat="false" ht="64.9" hidden="false" customHeight="false" outlineLevel="0" collapsed="false">
      <c r="A320" s="19" t="s">
        <v>37</v>
      </c>
      <c r="B320" s="19" t="s">
        <v>42</v>
      </c>
      <c r="C320" s="19" t="s">
        <v>43</v>
      </c>
      <c r="D320" s="19" t="s">
        <v>111</v>
      </c>
      <c r="E320" s="19" t="s">
        <v>112</v>
      </c>
      <c r="F320" s="19" t="s">
        <v>340</v>
      </c>
      <c r="G320" s="20" t="n">
        <v>4</v>
      </c>
      <c r="H320" s="20" t="n">
        <v>8</v>
      </c>
      <c r="I320" s="20" t="n">
        <v>4</v>
      </c>
      <c r="J320" s="20" t="n">
        <v>53</v>
      </c>
      <c r="K320" s="21" t="n">
        <f aca="false">G320/H320</f>
        <v>0.5</v>
      </c>
      <c r="L320" s="21" t="n">
        <f aca="false">I320/J320</f>
        <v>0.0754716981132075</v>
      </c>
      <c r="M320" s="20" t="n">
        <v>0</v>
      </c>
      <c r="N320" s="22" t="s">
        <v>137</v>
      </c>
    </row>
    <row r="321" customFormat="false" ht="64.9" hidden="false" customHeight="false" outlineLevel="0" collapsed="false">
      <c r="A321" s="19" t="s">
        <v>37</v>
      </c>
      <c r="B321" s="19" t="s">
        <v>42</v>
      </c>
      <c r="C321" s="19" t="s">
        <v>43</v>
      </c>
      <c r="D321" s="19" t="s">
        <v>115</v>
      </c>
      <c r="E321" s="19" t="s">
        <v>116</v>
      </c>
      <c r="F321" s="19" t="s">
        <v>341</v>
      </c>
      <c r="G321" s="20" t="n">
        <v>5</v>
      </c>
      <c r="H321" s="20" t="n">
        <v>12</v>
      </c>
      <c r="I321" s="20" t="n">
        <v>6</v>
      </c>
      <c r="J321" s="20" t="n">
        <v>73</v>
      </c>
      <c r="K321" s="21" t="n">
        <f aca="false">G321/H321</f>
        <v>0.416666666666667</v>
      </c>
      <c r="L321" s="21" t="n">
        <f aca="false">I321/J321</f>
        <v>0.0821917808219178</v>
      </c>
      <c r="M321" s="20" t="n">
        <v>0</v>
      </c>
      <c r="N321" s="22" t="s">
        <v>139</v>
      </c>
    </row>
    <row r="322" customFormat="false" ht="52.2" hidden="false" customHeight="false" outlineLevel="0" collapsed="false">
      <c r="A322" s="19" t="s">
        <v>37</v>
      </c>
      <c r="B322" s="19" t="s">
        <v>44</v>
      </c>
      <c r="C322" s="19" t="s">
        <v>45</v>
      </c>
      <c r="D322" s="19" t="s">
        <v>79</v>
      </c>
      <c r="E322" s="19" t="s">
        <v>80</v>
      </c>
      <c r="F322" s="19" t="s">
        <v>323</v>
      </c>
      <c r="G322" s="20" t="n">
        <v>1</v>
      </c>
      <c r="H322" s="20" t="n">
        <v>6</v>
      </c>
      <c r="I322" s="20" t="n">
        <v>1</v>
      </c>
      <c r="J322" s="20" t="n">
        <v>42</v>
      </c>
      <c r="K322" s="21" t="n">
        <f aca="false">G322/H322</f>
        <v>0.166666666666667</v>
      </c>
      <c r="L322" s="21" t="n">
        <f aca="false">I322/J322</f>
        <v>0.0238095238095238</v>
      </c>
      <c r="M322" s="20" t="n">
        <v>0</v>
      </c>
      <c r="N322" s="22" t="s">
        <v>141</v>
      </c>
    </row>
    <row r="323" customFormat="false" ht="52.2" hidden="false" customHeight="false" outlineLevel="0" collapsed="false">
      <c r="A323" s="19" t="s">
        <v>37</v>
      </c>
      <c r="B323" s="19" t="s">
        <v>44</v>
      </c>
      <c r="C323" s="19" t="s">
        <v>45</v>
      </c>
      <c r="D323" s="19" t="s">
        <v>83</v>
      </c>
      <c r="E323" s="19" t="s">
        <v>84</v>
      </c>
      <c r="F323" s="19" t="s">
        <v>308</v>
      </c>
      <c r="G323" s="20" t="n">
        <v>3</v>
      </c>
      <c r="H323" s="20" t="n">
        <v>8</v>
      </c>
      <c r="I323" s="20" t="n">
        <v>2</v>
      </c>
      <c r="J323" s="20" t="n">
        <v>53</v>
      </c>
      <c r="K323" s="21" t="n">
        <f aca="false">G323/H323</f>
        <v>0.375</v>
      </c>
      <c r="L323" s="21" t="n">
        <f aca="false">I323/J323</f>
        <v>0.0377358490566038</v>
      </c>
      <c r="M323" s="20" t="n">
        <v>0</v>
      </c>
      <c r="N323" s="22" t="s">
        <v>143</v>
      </c>
    </row>
    <row r="324" customFormat="false" ht="52.2" hidden="false" customHeight="false" outlineLevel="0" collapsed="false">
      <c r="A324" s="19" t="s">
        <v>37</v>
      </c>
      <c r="B324" s="19" t="s">
        <v>44</v>
      </c>
      <c r="C324" s="19" t="s">
        <v>45</v>
      </c>
      <c r="D324" s="19" t="s">
        <v>87</v>
      </c>
      <c r="E324" s="19" t="s">
        <v>88</v>
      </c>
      <c r="F324" s="19" t="s">
        <v>342</v>
      </c>
      <c r="G324" s="20" t="n">
        <v>3</v>
      </c>
      <c r="H324" s="20" t="n">
        <v>8</v>
      </c>
      <c r="I324" s="20" t="n">
        <v>3</v>
      </c>
      <c r="J324" s="20" t="n">
        <v>69</v>
      </c>
      <c r="K324" s="21" t="n">
        <f aca="false">G324/H324</f>
        <v>0.375</v>
      </c>
      <c r="L324" s="21" t="n">
        <f aca="false">I324/J324</f>
        <v>0.0434782608695652</v>
      </c>
      <c r="M324" s="20" t="n">
        <v>0</v>
      </c>
      <c r="N324" s="22" t="s">
        <v>145</v>
      </c>
    </row>
    <row r="325" customFormat="false" ht="52.2" hidden="false" customHeight="false" outlineLevel="0" collapsed="false">
      <c r="A325" s="19" t="s">
        <v>37</v>
      </c>
      <c r="B325" s="19" t="s">
        <v>44</v>
      </c>
      <c r="C325" s="19" t="s">
        <v>45</v>
      </c>
      <c r="D325" s="19" t="s">
        <v>91</v>
      </c>
      <c r="E325" s="19" t="s">
        <v>92</v>
      </c>
      <c r="F325" s="19" t="s">
        <v>343</v>
      </c>
      <c r="G325" s="20" t="n">
        <v>3</v>
      </c>
      <c r="H325" s="20" t="n">
        <v>10</v>
      </c>
      <c r="I325" s="20" t="n">
        <v>3</v>
      </c>
      <c r="J325" s="20" t="n">
        <v>55</v>
      </c>
      <c r="K325" s="21" t="n">
        <f aca="false">G325/H325</f>
        <v>0.3</v>
      </c>
      <c r="L325" s="21" t="n">
        <f aca="false">I325/J325</f>
        <v>0.0545454545454545</v>
      </c>
      <c r="M325" s="20" t="n">
        <v>0</v>
      </c>
      <c r="N325" s="22" t="s">
        <v>147</v>
      </c>
    </row>
    <row r="326" customFormat="false" ht="52.2" hidden="false" customHeight="false" outlineLevel="0" collapsed="false">
      <c r="A326" s="19" t="s">
        <v>37</v>
      </c>
      <c r="B326" s="19" t="s">
        <v>44</v>
      </c>
      <c r="C326" s="19" t="s">
        <v>45</v>
      </c>
      <c r="D326" s="19" t="s">
        <v>95</v>
      </c>
      <c r="E326" s="19" t="s">
        <v>96</v>
      </c>
      <c r="F326" s="19" t="s">
        <v>272</v>
      </c>
      <c r="G326" s="20" t="n">
        <v>0</v>
      </c>
      <c r="H326" s="20" t="n">
        <v>9</v>
      </c>
      <c r="I326" s="20" t="n">
        <v>0</v>
      </c>
      <c r="J326" s="20" t="n">
        <v>44</v>
      </c>
      <c r="K326" s="21" t="n">
        <f aca="false">G326/H326</f>
        <v>0</v>
      </c>
      <c r="L326" s="21" t="n">
        <f aca="false">I326/J326</f>
        <v>0</v>
      </c>
      <c r="M326" s="20" t="n">
        <v>0</v>
      </c>
      <c r="N326" s="22" t="s">
        <v>149</v>
      </c>
    </row>
    <row r="327" customFormat="false" ht="52.2" hidden="false" customHeight="false" outlineLevel="0" collapsed="false">
      <c r="A327" s="19" t="s">
        <v>37</v>
      </c>
      <c r="B327" s="19" t="s">
        <v>44</v>
      </c>
      <c r="C327" s="19" t="s">
        <v>45</v>
      </c>
      <c r="D327" s="19" t="s">
        <v>99</v>
      </c>
      <c r="E327" s="19" t="s">
        <v>100</v>
      </c>
      <c r="F327" s="19" t="s">
        <v>264</v>
      </c>
      <c r="G327" s="20" t="n">
        <v>0</v>
      </c>
      <c r="H327" s="20" t="n">
        <v>6</v>
      </c>
      <c r="I327" s="20" t="n">
        <v>0</v>
      </c>
      <c r="J327" s="20" t="n">
        <v>35</v>
      </c>
      <c r="K327" s="21" t="n">
        <f aca="false">G327/H327</f>
        <v>0</v>
      </c>
      <c r="L327" s="21" t="n">
        <f aca="false">I327/J327</f>
        <v>0</v>
      </c>
      <c r="M327" s="20" t="n">
        <v>0</v>
      </c>
      <c r="N327" s="22" t="s">
        <v>151</v>
      </c>
    </row>
    <row r="328" customFormat="false" ht="52.2" hidden="false" customHeight="false" outlineLevel="0" collapsed="false">
      <c r="A328" s="19" t="s">
        <v>37</v>
      </c>
      <c r="B328" s="19" t="s">
        <v>44</v>
      </c>
      <c r="C328" s="19" t="s">
        <v>45</v>
      </c>
      <c r="D328" s="19" t="s">
        <v>103</v>
      </c>
      <c r="E328" s="19" t="s">
        <v>131</v>
      </c>
      <c r="F328" s="19" t="s">
        <v>344</v>
      </c>
      <c r="G328" s="20" t="n">
        <v>9</v>
      </c>
      <c r="H328" s="20" t="n">
        <v>10</v>
      </c>
      <c r="I328" s="20" t="n">
        <v>5</v>
      </c>
      <c r="J328" s="20" t="n">
        <v>58</v>
      </c>
      <c r="K328" s="21" t="n">
        <f aca="false">G328/H328</f>
        <v>0.9</v>
      </c>
      <c r="L328" s="21" t="n">
        <f aca="false">I328/J328</f>
        <v>0.0862068965517241</v>
      </c>
      <c r="M328" s="20" t="n">
        <v>0</v>
      </c>
      <c r="N328" s="22" t="s">
        <v>153</v>
      </c>
    </row>
    <row r="329" customFormat="false" ht="52.2" hidden="false" customHeight="false" outlineLevel="0" collapsed="false">
      <c r="A329" s="19" t="s">
        <v>37</v>
      </c>
      <c r="B329" s="19" t="s">
        <v>44</v>
      </c>
      <c r="C329" s="19" t="s">
        <v>45</v>
      </c>
      <c r="D329" s="19" t="s">
        <v>107</v>
      </c>
      <c r="E329" s="19" t="s">
        <v>108</v>
      </c>
      <c r="F329" s="19" t="s">
        <v>345</v>
      </c>
      <c r="G329" s="20" t="n">
        <v>7</v>
      </c>
      <c r="H329" s="20" t="n">
        <v>11</v>
      </c>
      <c r="I329" s="20" t="n">
        <v>5</v>
      </c>
      <c r="J329" s="20" t="n">
        <v>60</v>
      </c>
      <c r="K329" s="21" t="n">
        <f aca="false">G329/H329</f>
        <v>0.636363636363636</v>
      </c>
      <c r="L329" s="21" t="n">
        <f aca="false">I329/J329</f>
        <v>0.0833333333333333</v>
      </c>
      <c r="M329" s="20" t="n">
        <v>0</v>
      </c>
      <c r="N329" s="22" t="s">
        <v>155</v>
      </c>
    </row>
    <row r="330" customFormat="false" ht="52.2" hidden="false" customHeight="false" outlineLevel="0" collapsed="false">
      <c r="A330" s="19" t="s">
        <v>37</v>
      </c>
      <c r="B330" s="19" t="s">
        <v>44</v>
      </c>
      <c r="C330" s="19" t="s">
        <v>45</v>
      </c>
      <c r="D330" s="19" t="s">
        <v>111</v>
      </c>
      <c r="E330" s="19" t="s">
        <v>112</v>
      </c>
      <c r="F330" s="19" t="s">
        <v>346</v>
      </c>
      <c r="G330" s="20" t="n">
        <v>2</v>
      </c>
      <c r="H330" s="20" t="n">
        <v>8</v>
      </c>
      <c r="I330" s="20" t="n">
        <v>1</v>
      </c>
      <c r="J330" s="20" t="n">
        <v>53</v>
      </c>
      <c r="K330" s="21" t="n">
        <f aca="false">G330/H330</f>
        <v>0.25</v>
      </c>
      <c r="L330" s="21" t="n">
        <f aca="false">I330/J330</f>
        <v>0.0188679245283019</v>
      </c>
      <c r="M330" s="20" t="n">
        <v>0</v>
      </c>
      <c r="N330" s="22" t="s">
        <v>157</v>
      </c>
    </row>
    <row r="331" customFormat="false" ht="52.2" hidden="false" customHeight="false" outlineLevel="0" collapsed="false">
      <c r="A331" s="19" t="s">
        <v>37</v>
      </c>
      <c r="B331" s="19" t="s">
        <v>44</v>
      </c>
      <c r="C331" s="19" t="s">
        <v>45</v>
      </c>
      <c r="D331" s="19" t="s">
        <v>115</v>
      </c>
      <c r="E331" s="19" t="s">
        <v>116</v>
      </c>
      <c r="F331" s="19" t="s">
        <v>347</v>
      </c>
      <c r="G331" s="20" t="n">
        <v>6</v>
      </c>
      <c r="H331" s="20" t="n">
        <v>12</v>
      </c>
      <c r="I331" s="20" t="n">
        <v>6</v>
      </c>
      <c r="J331" s="20" t="n">
        <v>73</v>
      </c>
      <c r="K331" s="21" t="n">
        <f aca="false">G331/H331</f>
        <v>0.5</v>
      </c>
      <c r="L331" s="21" t="n">
        <f aca="false">I331/J331</f>
        <v>0.0821917808219178</v>
      </c>
      <c r="M331" s="20" t="n">
        <v>0</v>
      </c>
      <c r="N331" s="22" t="s">
        <v>159</v>
      </c>
    </row>
  </sheetData>
  <autoFilter ref="A1:N331"/>
  <hyperlinks>
    <hyperlink ref="N2" r:id="rId2" display="audio/2026-09-17_46ec4547_Victor_Q08.wav"/>
    <hyperlink ref="N3" r:id="rId3" display="audio/2026-09-17_46ec4547_Victor_Q09.wav"/>
    <hyperlink ref="N4" r:id="rId4" display="audio/2026-09-17_46ec4547_Victor_Q10.wav"/>
    <hyperlink ref="N5" r:id="rId5" display="audio/2026-09-17_46ec4547_Victor_Q11.wav"/>
    <hyperlink ref="N6" r:id="rId6" display="audio/2026-09-17_46ec4547_Victor_Q12.wav"/>
    <hyperlink ref="N7" r:id="rId7" display="audio/2026-09-17_46ec4547_Victor_Q13.wav"/>
    <hyperlink ref="N8" r:id="rId8" display="audio/2026-09-17_46ec4547_Victor_Q14.wav"/>
    <hyperlink ref="N9" r:id="rId9" display="audio/2026-09-17_46ec4547_Victor_Q15.wav"/>
    <hyperlink ref="N10" r:id="rId10" display="audio/2026-09-17_46ec4547_Victor_Q16.wav"/>
    <hyperlink ref="N11" r:id="rId11" display="audio/2026-09-17_46ec4547_Victor_Q17.wav"/>
    <hyperlink ref="N12" r:id="rId12" display="audio/2026-09-21_4f629181_Susan_Q08.wav"/>
    <hyperlink ref="N13" r:id="rId13" display="audio/2026-09-21_4f629181_Susan_Q09.wav"/>
    <hyperlink ref="N14" r:id="rId14" display="audio/2026-09-21_4f629181_Susan_Q10.wav"/>
    <hyperlink ref="N15" r:id="rId15" display="audio/2026-09-21_4f629181_Susan_Q11.wav"/>
    <hyperlink ref="N16" r:id="rId16" display="audio/2026-09-21_4f629181_Susan_Q12.wav"/>
    <hyperlink ref="N17" r:id="rId17" display="audio/2026-09-21_4f629181_Susan_Q13.wav"/>
    <hyperlink ref="N18" r:id="rId18" display="audio/2026-09-21_4f629181_Susan_Q14.wav"/>
    <hyperlink ref="N19" r:id="rId19" display="audio/2026-09-21_4f629181_Susan_Q15.wav"/>
    <hyperlink ref="N20" r:id="rId20" display="audio/2026-09-21_4f629181_Susan_Q16.wav"/>
    <hyperlink ref="N21" r:id="rId21" display="audio/2026-09-21_4f629181_Susan_Q17.wav"/>
    <hyperlink ref="N22" r:id="rId22" display="audio/2026-09-21_7db59ab6_Ednah_Q08.wav"/>
    <hyperlink ref="N23" r:id="rId23" display="audio/2026-09-21_7db59ab6_Ednah_Q09.wav"/>
    <hyperlink ref="N24" r:id="rId24" display="audio/2026-09-21_7db59ab6_Ednah_Q10.wav"/>
    <hyperlink ref="N25" r:id="rId25" display="audio/2026-09-21_7db59ab6_Ednah_Q11.wav"/>
    <hyperlink ref="N26" r:id="rId26" display="audio/2026-09-21_7db59ab6_Ednah_Q12.wav"/>
    <hyperlink ref="N27" r:id="rId27" display="audio/2026-09-21_7db59ab6_Ednah_Q13.wav"/>
    <hyperlink ref="N28" r:id="rId28" display="audio/2026-09-21_7db59ab6_Ednah_Q14.wav"/>
    <hyperlink ref="N29" r:id="rId29" display="audio/2026-09-21_7db59ab6_Ednah_Q15.wav"/>
    <hyperlink ref="N30" r:id="rId30" display="audio/2026-09-21_7db59ab6_Ednah_Q16.wav"/>
    <hyperlink ref="N31" r:id="rId31" display="audio/2026-09-21_7db59ab6_Ednah_Q17.wav"/>
    <hyperlink ref="N32" r:id="rId32" display="audio/2026-09-17_46ec4547_Victor_Q08.wav"/>
    <hyperlink ref="N33" r:id="rId33" display="audio/2026-09-17_46ec4547_Victor_Q09.wav"/>
    <hyperlink ref="N34" r:id="rId34" display="audio/2026-09-17_46ec4547_Victor_Q10.wav"/>
    <hyperlink ref="N35" r:id="rId35" display="audio/2026-09-17_46ec4547_Victor_Q11.wav"/>
    <hyperlink ref="N36" r:id="rId36" display="audio/2026-09-17_46ec4547_Victor_Q12.wav"/>
    <hyperlink ref="N37" r:id="rId37" display="audio/2026-09-17_46ec4547_Victor_Q13.wav"/>
    <hyperlink ref="N38" r:id="rId38" display="audio/2026-09-17_46ec4547_Victor_Q14.wav"/>
    <hyperlink ref="N39" r:id="rId39" display="audio/2026-09-17_46ec4547_Victor_Q15.wav"/>
    <hyperlink ref="N40" r:id="rId40" display="audio/2026-09-17_46ec4547_Victor_Q16.wav"/>
    <hyperlink ref="N41" r:id="rId41" display="audio/2026-09-17_46ec4547_Victor_Q17.wav"/>
    <hyperlink ref="N42" r:id="rId42" display="audio/2026-09-21_4f629181_Susan_Q08.wav"/>
    <hyperlink ref="N43" r:id="rId43" display="audio/2026-09-21_4f629181_Susan_Q09.wav"/>
    <hyperlink ref="N44" r:id="rId44" display="audio/2026-09-21_4f629181_Susan_Q10.wav"/>
    <hyperlink ref="N45" r:id="rId45" display="audio/2026-09-21_4f629181_Susan_Q11.wav"/>
    <hyperlink ref="N46" r:id="rId46" display="audio/2026-09-21_4f629181_Susan_Q12.wav"/>
    <hyperlink ref="N47" r:id="rId47" display="audio/2026-09-21_4f629181_Susan_Q13.wav"/>
    <hyperlink ref="N48" r:id="rId48" display="audio/2026-09-21_4f629181_Susan_Q14.wav"/>
    <hyperlink ref="N49" r:id="rId49" display="audio/2026-09-21_4f629181_Susan_Q15.wav"/>
    <hyperlink ref="N50" r:id="rId50" display="audio/2026-09-21_4f629181_Susan_Q16.wav"/>
    <hyperlink ref="N51" r:id="rId51" display="audio/2026-09-21_4f629181_Susan_Q17.wav"/>
    <hyperlink ref="N52" r:id="rId52" display="audio/2026-09-21_7db59ab6_Ednah_Q08.wav"/>
    <hyperlink ref="N53" r:id="rId53" display="audio/2026-09-21_7db59ab6_Ednah_Q09.wav"/>
    <hyperlink ref="N54" r:id="rId54" display="audio/2026-09-21_7db59ab6_Ednah_Q10.wav"/>
    <hyperlink ref="N55" r:id="rId55" display="audio/2026-09-21_7db59ab6_Ednah_Q11.wav"/>
    <hyperlink ref="N56" r:id="rId56" display="audio/2026-09-21_7db59ab6_Ednah_Q12.wav"/>
    <hyperlink ref="N57" r:id="rId57" display="audio/2026-09-21_7db59ab6_Ednah_Q13.wav"/>
    <hyperlink ref="N58" r:id="rId58" display="audio/2026-09-21_7db59ab6_Ednah_Q14.wav"/>
    <hyperlink ref="N59" r:id="rId59" display="audio/2026-09-21_7db59ab6_Ednah_Q15.wav"/>
    <hyperlink ref="N60" r:id="rId60" display="audio/2026-09-21_7db59ab6_Ednah_Q16.wav"/>
    <hyperlink ref="N61" r:id="rId61" display="audio/2026-09-21_7db59ab6_Ednah_Q17.wav"/>
    <hyperlink ref="N62" r:id="rId62" display="audio/2026-09-17_46ec4547_Victor_Q08.wav"/>
    <hyperlink ref="N63" r:id="rId63" display="audio/2026-09-17_46ec4547_Victor_Q09.wav"/>
    <hyperlink ref="N64" r:id="rId64" display="audio/2026-09-17_46ec4547_Victor_Q10.wav"/>
    <hyperlink ref="N65" r:id="rId65" display="audio/2026-09-17_46ec4547_Victor_Q11.wav"/>
    <hyperlink ref="N66" r:id="rId66" display="audio/2026-09-17_46ec4547_Victor_Q12.wav"/>
    <hyperlink ref="N67" r:id="rId67" display="audio/2026-09-17_46ec4547_Victor_Q13.wav"/>
    <hyperlink ref="N68" r:id="rId68" display="audio/2026-09-17_46ec4547_Victor_Q14.wav"/>
    <hyperlink ref="N69" r:id="rId69" display="audio/2026-09-17_46ec4547_Victor_Q15.wav"/>
    <hyperlink ref="N70" r:id="rId70" display="audio/2026-09-17_46ec4547_Victor_Q16.wav"/>
    <hyperlink ref="N71" r:id="rId71" display="audio/2026-09-17_46ec4547_Victor_Q17.wav"/>
    <hyperlink ref="N72" r:id="rId72" display="audio/2026-09-21_4f629181_Susan_Q08.wav"/>
    <hyperlink ref="N73" r:id="rId73" display="audio/2026-09-21_4f629181_Susan_Q09.wav"/>
    <hyperlink ref="N74" r:id="rId74" display="audio/2026-09-21_4f629181_Susan_Q10.wav"/>
    <hyperlink ref="N75" r:id="rId75" display="audio/2026-09-21_4f629181_Susan_Q11.wav"/>
    <hyperlink ref="N76" r:id="rId76" display="audio/2026-09-21_4f629181_Susan_Q12.wav"/>
    <hyperlink ref="N77" r:id="rId77" display="audio/2026-09-21_4f629181_Susan_Q13.wav"/>
    <hyperlink ref="N78" r:id="rId78" display="audio/2026-09-21_4f629181_Susan_Q14.wav"/>
    <hyperlink ref="N79" r:id="rId79" display="audio/2026-09-21_4f629181_Susan_Q15.wav"/>
    <hyperlink ref="N80" r:id="rId80" display="audio/2026-09-21_4f629181_Susan_Q16.wav"/>
    <hyperlink ref="N81" r:id="rId81" display="audio/2026-09-21_4f629181_Susan_Q17.wav"/>
    <hyperlink ref="N82" r:id="rId82" display="audio/2026-09-21_7db59ab6_Ednah_Q08.wav"/>
    <hyperlink ref="N83" r:id="rId83" display="audio/2026-09-21_7db59ab6_Ednah_Q09.wav"/>
    <hyperlink ref="N84" r:id="rId84" display="audio/2026-09-21_7db59ab6_Ednah_Q10.wav"/>
    <hyperlink ref="N85" r:id="rId85" display="audio/2026-09-21_7db59ab6_Ednah_Q11.wav"/>
    <hyperlink ref="N86" r:id="rId86" display="audio/2026-09-21_7db59ab6_Ednah_Q12.wav"/>
    <hyperlink ref="N87" r:id="rId87" display="audio/2026-09-21_7db59ab6_Ednah_Q13.wav"/>
    <hyperlink ref="N88" r:id="rId88" display="audio/2026-09-21_7db59ab6_Ednah_Q14.wav"/>
    <hyperlink ref="N89" r:id="rId89" display="audio/2026-09-21_7db59ab6_Ednah_Q15.wav"/>
    <hyperlink ref="N90" r:id="rId90" display="audio/2026-09-21_7db59ab6_Ednah_Q16.wav"/>
    <hyperlink ref="N91" r:id="rId91" display="audio/2026-09-21_7db59ab6_Ednah_Q17.wav"/>
    <hyperlink ref="N92" r:id="rId92" display="audio/2026-09-17_46ec4547_Victor_Q08.wav"/>
    <hyperlink ref="N93" r:id="rId93" display="audio/2026-09-17_46ec4547_Victor_Q09.wav"/>
    <hyperlink ref="N94" r:id="rId94" display="audio/2026-09-17_46ec4547_Victor_Q10.wav"/>
    <hyperlink ref="N95" r:id="rId95" display="audio/2026-09-17_46ec4547_Victor_Q11.wav"/>
    <hyperlink ref="N96" r:id="rId96" display="audio/2026-09-17_46ec4547_Victor_Q12.wav"/>
    <hyperlink ref="N97" r:id="rId97" display="audio/2026-09-17_46ec4547_Victor_Q13.wav"/>
    <hyperlink ref="N98" r:id="rId98" display="audio/2026-09-17_46ec4547_Victor_Q14.wav"/>
    <hyperlink ref="N99" r:id="rId99" display="audio/2026-09-17_46ec4547_Victor_Q15.wav"/>
    <hyperlink ref="N100" r:id="rId100" display="audio/2026-09-17_46ec4547_Victor_Q16.wav"/>
    <hyperlink ref="N101" r:id="rId101" display="audio/2026-09-17_46ec4547_Victor_Q17.wav"/>
    <hyperlink ref="N102" r:id="rId102" display="audio/2026-09-21_4f629181_Susan_Q08.wav"/>
    <hyperlink ref="N103" r:id="rId103" display="audio/2026-09-21_4f629181_Susan_Q09.wav"/>
    <hyperlink ref="N104" r:id="rId104" display="audio/2026-09-21_4f629181_Susan_Q10.wav"/>
    <hyperlink ref="N105" r:id="rId105" display="audio/2026-09-21_4f629181_Susan_Q11.wav"/>
    <hyperlink ref="N106" r:id="rId106" display="audio/2026-09-21_4f629181_Susan_Q12.wav"/>
    <hyperlink ref="N107" r:id="rId107" display="audio/2026-09-21_4f629181_Susan_Q13.wav"/>
    <hyperlink ref="N108" r:id="rId108" display="audio/2026-09-21_4f629181_Susan_Q14.wav"/>
    <hyperlink ref="N109" r:id="rId109" display="audio/2026-09-21_4f629181_Susan_Q15.wav"/>
    <hyperlink ref="N110" r:id="rId110" display="audio/2026-09-21_4f629181_Susan_Q16.wav"/>
    <hyperlink ref="N111" r:id="rId111" display="audio/2026-09-21_4f629181_Susan_Q17.wav"/>
    <hyperlink ref="N112" r:id="rId112" display="audio/2026-09-21_7db59ab6_Ednah_Q08.wav"/>
    <hyperlink ref="N113" r:id="rId113" display="audio/2026-09-21_7db59ab6_Ednah_Q09.wav"/>
    <hyperlink ref="N114" r:id="rId114" display="audio/2026-09-21_7db59ab6_Ednah_Q10.wav"/>
    <hyperlink ref="N115" r:id="rId115" display="audio/2026-09-21_7db59ab6_Ednah_Q11.wav"/>
    <hyperlink ref="N116" r:id="rId116" display="audio/2026-09-21_7db59ab6_Ednah_Q12.wav"/>
    <hyperlink ref="N117" r:id="rId117" display="audio/2026-09-21_7db59ab6_Ednah_Q13.wav"/>
    <hyperlink ref="N118" r:id="rId118" display="audio/2026-09-21_7db59ab6_Ednah_Q14.wav"/>
    <hyperlink ref="N119" r:id="rId119" display="audio/2026-09-21_7db59ab6_Ednah_Q15.wav"/>
    <hyperlink ref="N120" r:id="rId120" display="audio/2026-09-21_7db59ab6_Ednah_Q16.wav"/>
    <hyperlink ref="N121" r:id="rId121" display="audio/2026-09-21_7db59ab6_Ednah_Q17.wav"/>
    <hyperlink ref="N122" r:id="rId122" display="audio/2026-09-17_46ec4547_Victor_Q08.wav"/>
    <hyperlink ref="N123" r:id="rId123" display="audio/2026-09-17_46ec4547_Victor_Q09.wav"/>
    <hyperlink ref="N124" r:id="rId124" display="audio/2026-09-17_46ec4547_Victor_Q10.wav"/>
    <hyperlink ref="N125" r:id="rId125" display="audio/2026-09-17_46ec4547_Victor_Q11.wav"/>
    <hyperlink ref="N126" r:id="rId126" display="audio/2026-09-17_46ec4547_Victor_Q12.wav"/>
    <hyperlink ref="N127" r:id="rId127" display="audio/2026-09-17_46ec4547_Victor_Q13.wav"/>
    <hyperlink ref="N128" r:id="rId128" display="audio/2026-09-17_46ec4547_Victor_Q14.wav"/>
    <hyperlink ref="N129" r:id="rId129" display="audio/2026-09-17_46ec4547_Victor_Q15.wav"/>
    <hyperlink ref="N130" r:id="rId130" display="audio/2026-09-17_46ec4547_Victor_Q16.wav"/>
    <hyperlink ref="N131" r:id="rId131" display="audio/2026-09-17_46ec4547_Victor_Q17.wav"/>
    <hyperlink ref="N132" r:id="rId132" display="audio/2026-09-21_4f629181_Susan_Q08.wav"/>
    <hyperlink ref="N133" r:id="rId133" display="audio/2026-09-21_4f629181_Susan_Q09.wav"/>
    <hyperlink ref="N134" r:id="rId134" display="audio/2026-09-21_4f629181_Susan_Q10.wav"/>
    <hyperlink ref="N135" r:id="rId135" display="audio/2026-09-21_4f629181_Susan_Q11.wav"/>
    <hyperlink ref="N136" r:id="rId136" display="audio/2026-09-21_4f629181_Susan_Q12.wav"/>
    <hyperlink ref="N137" r:id="rId137" display="audio/2026-09-21_4f629181_Susan_Q13.wav"/>
    <hyperlink ref="N138" r:id="rId138" display="audio/2026-09-21_4f629181_Susan_Q14.wav"/>
    <hyperlink ref="N139" r:id="rId139" display="audio/2026-09-21_4f629181_Susan_Q15.wav"/>
    <hyperlink ref="N140" r:id="rId140" display="audio/2026-09-21_4f629181_Susan_Q16.wav"/>
    <hyperlink ref="N141" r:id="rId141" display="audio/2026-09-21_4f629181_Susan_Q17.wav"/>
    <hyperlink ref="N142" r:id="rId142" display="audio/2026-09-21_7db59ab6_Ednah_Q08.wav"/>
    <hyperlink ref="N143" r:id="rId143" display="audio/2026-09-21_7db59ab6_Ednah_Q09.wav"/>
    <hyperlink ref="N144" r:id="rId144" display="audio/2026-09-21_7db59ab6_Ednah_Q10.wav"/>
    <hyperlink ref="N145" r:id="rId145" display="audio/2026-09-21_7db59ab6_Ednah_Q11.wav"/>
    <hyperlink ref="N146" r:id="rId146" display="audio/2026-09-21_7db59ab6_Ednah_Q12.wav"/>
    <hyperlink ref="N147" r:id="rId147" display="audio/2026-09-21_7db59ab6_Ednah_Q13.wav"/>
    <hyperlink ref="N148" r:id="rId148" display="audio/2026-09-21_7db59ab6_Ednah_Q14.wav"/>
    <hyperlink ref="N149" r:id="rId149" display="audio/2026-09-21_7db59ab6_Ednah_Q15.wav"/>
    <hyperlink ref="N150" r:id="rId150" display="audio/2026-09-21_7db59ab6_Ednah_Q16.wav"/>
    <hyperlink ref="N151" r:id="rId151" display="audio/2026-09-21_7db59ab6_Ednah_Q17.wav"/>
    <hyperlink ref="N152" r:id="rId152" display="audio/2026-09-17_46ec4547_Victor_Q08.wav"/>
    <hyperlink ref="N153" r:id="rId153" display="audio/2026-09-17_46ec4547_Victor_Q09.wav"/>
    <hyperlink ref="N154" r:id="rId154" display="audio/2026-09-17_46ec4547_Victor_Q10.wav"/>
    <hyperlink ref="N155" r:id="rId155" display="audio/2026-09-17_46ec4547_Victor_Q11.wav"/>
    <hyperlink ref="N156" r:id="rId156" display="audio/2026-09-17_46ec4547_Victor_Q12.wav"/>
    <hyperlink ref="N157" r:id="rId157" display="audio/2026-09-17_46ec4547_Victor_Q13.wav"/>
    <hyperlink ref="N158" r:id="rId158" display="audio/2026-09-17_46ec4547_Victor_Q14.wav"/>
    <hyperlink ref="N159" r:id="rId159" display="audio/2026-09-17_46ec4547_Victor_Q15.wav"/>
    <hyperlink ref="N160" r:id="rId160" display="audio/2026-09-17_46ec4547_Victor_Q16.wav"/>
    <hyperlink ref="N161" r:id="rId161" display="audio/2026-09-17_46ec4547_Victor_Q17.wav"/>
    <hyperlink ref="N162" r:id="rId162" display="audio/2026-09-21_4f629181_Susan_Q08.wav"/>
    <hyperlink ref="N163" r:id="rId163" display="audio/2026-09-21_4f629181_Susan_Q09.wav"/>
    <hyperlink ref="N164" r:id="rId164" display="audio/2026-09-21_4f629181_Susan_Q10.wav"/>
    <hyperlink ref="N165" r:id="rId165" display="audio/2026-09-21_4f629181_Susan_Q11.wav"/>
    <hyperlink ref="N166" r:id="rId166" display="audio/2026-09-21_4f629181_Susan_Q12.wav"/>
    <hyperlink ref="N167" r:id="rId167" display="audio/2026-09-21_4f629181_Susan_Q13.wav"/>
    <hyperlink ref="N168" r:id="rId168" display="audio/2026-09-21_4f629181_Susan_Q14.wav"/>
    <hyperlink ref="N169" r:id="rId169" display="audio/2026-09-21_4f629181_Susan_Q15.wav"/>
    <hyperlink ref="N170" r:id="rId170" display="audio/2026-09-21_4f629181_Susan_Q16.wav"/>
    <hyperlink ref="N171" r:id="rId171" display="audio/2026-09-21_4f629181_Susan_Q17.wav"/>
    <hyperlink ref="N172" r:id="rId172" display="audio/2026-09-21_7db59ab6_Ednah_Q08.wav"/>
    <hyperlink ref="N173" r:id="rId173" display="audio/2026-09-21_7db59ab6_Ednah_Q09.wav"/>
    <hyperlink ref="N174" r:id="rId174" display="audio/2026-09-21_7db59ab6_Ednah_Q10.wav"/>
    <hyperlink ref="N175" r:id="rId175" display="audio/2026-09-21_7db59ab6_Ednah_Q11.wav"/>
    <hyperlink ref="N176" r:id="rId176" display="audio/2026-09-21_7db59ab6_Ednah_Q12.wav"/>
    <hyperlink ref="N177" r:id="rId177" display="audio/2026-09-21_7db59ab6_Ednah_Q13.wav"/>
    <hyperlink ref="N178" r:id="rId178" display="audio/2026-09-21_7db59ab6_Ednah_Q14.wav"/>
    <hyperlink ref="N179" r:id="rId179" display="audio/2026-09-21_7db59ab6_Ednah_Q15.wav"/>
    <hyperlink ref="N180" r:id="rId180" display="audio/2026-09-21_7db59ab6_Ednah_Q16.wav"/>
    <hyperlink ref="N181" r:id="rId181" display="audio/2026-09-21_7db59ab6_Ednah_Q17.wav"/>
    <hyperlink ref="N182" r:id="rId182" display="audio/2026-09-17_46ec4547_Victor_Q08.wav"/>
    <hyperlink ref="N183" r:id="rId183" display="audio/2026-09-17_46ec4547_Victor_Q09.wav"/>
    <hyperlink ref="N184" r:id="rId184" display="audio/2026-09-17_46ec4547_Victor_Q10.wav"/>
    <hyperlink ref="N185" r:id="rId185" display="audio/2026-09-17_46ec4547_Victor_Q11.wav"/>
    <hyperlink ref="N186" r:id="rId186" display="audio/2026-09-17_46ec4547_Victor_Q12.wav"/>
    <hyperlink ref="N187" r:id="rId187" display="audio/2026-09-17_46ec4547_Victor_Q13.wav"/>
    <hyperlink ref="N188" r:id="rId188" display="audio/2026-09-17_46ec4547_Victor_Q14.wav"/>
    <hyperlink ref="N189" r:id="rId189" display="audio/2026-09-17_46ec4547_Victor_Q15.wav"/>
    <hyperlink ref="N190" r:id="rId190" display="audio/2026-09-17_46ec4547_Victor_Q16.wav"/>
    <hyperlink ref="N191" r:id="rId191" display="audio/2026-09-17_46ec4547_Victor_Q17.wav"/>
    <hyperlink ref="N192" r:id="rId192" display="audio/2026-09-21_4f629181_Susan_Q08.wav"/>
    <hyperlink ref="N193" r:id="rId193" display="audio/2026-09-21_4f629181_Susan_Q09.wav"/>
    <hyperlink ref="N194" r:id="rId194" display="audio/2026-09-21_4f629181_Susan_Q10.wav"/>
    <hyperlink ref="N195" r:id="rId195" display="audio/2026-09-21_4f629181_Susan_Q11.wav"/>
    <hyperlink ref="N196" r:id="rId196" display="audio/2026-09-21_4f629181_Susan_Q12.wav"/>
    <hyperlink ref="N197" r:id="rId197" display="audio/2026-09-21_4f629181_Susan_Q13.wav"/>
    <hyperlink ref="N198" r:id="rId198" display="audio/2026-09-21_4f629181_Susan_Q14.wav"/>
    <hyperlink ref="N199" r:id="rId199" display="audio/2026-09-21_4f629181_Susan_Q15.wav"/>
    <hyperlink ref="N200" r:id="rId200" display="audio/2026-09-21_4f629181_Susan_Q16.wav"/>
    <hyperlink ref="N201" r:id="rId201" display="audio/2026-09-21_4f629181_Susan_Q17.wav"/>
    <hyperlink ref="N202" r:id="rId202" display="audio/2026-09-21_7db59ab6_Ednah_Q08.wav"/>
    <hyperlink ref="N203" r:id="rId203" display="audio/2026-09-21_7db59ab6_Ednah_Q09.wav"/>
    <hyperlink ref="N204" r:id="rId204" display="audio/2026-09-21_7db59ab6_Ednah_Q10.wav"/>
    <hyperlink ref="N205" r:id="rId205" display="audio/2026-09-21_7db59ab6_Ednah_Q11.wav"/>
    <hyperlink ref="N206" r:id="rId206" display="audio/2026-09-21_7db59ab6_Ednah_Q12.wav"/>
    <hyperlink ref="N207" r:id="rId207" display="audio/2026-09-21_7db59ab6_Ednah_Q13.wav"/>
    <hyperlink ref="N208" r:id="rId208" display="audio/2026-09-21_7db59ab6_Ednah_Q14.wav"/>
    <hyperlink ref="N209" r:id="rId209" display="audio/2026-09-21_7db59ab6_Ednah_Q15.wav"/>
    <hyperlink ref="N210" r:id="rId210" display="audio/2026-09-21_7db59ab6_Ednah_Q16.wav"/>
    <hyperlink ref="N211" r:id="rId211" display="audio/2026-09-21_7db59ab6_Ednah_Q17.wav"/>
    <hyperlink ref="N212" r:id="rId212" display="audio/2026-09-17_46ec4547_Victor_Q08.wav"/>
    <hyperlink ref="N213" r:id="rId213" display="audio/2026-09-17_46ec4547_Victor_Q09.wav"/>
    <hyperlink ref="N214" r:id="rId214" display="audio/2026-09-17_46ec4547_Victor_Q10.wav"/>
    <hyperlink ref="N215" r:id="rId215" display="audio/2026-09-17_46ec4547_Victor_Q11.wav"/>
    <hyperlink ref="N216" r:id="rId216" display="audio/2026-09-17_46ec4547_Victor_Q12.wav"/>
    <hyperlink ref="N217" r:id="rId217" display="audio/2026-09-17_46ec4547_Victor_Q13.wav"/>
    <hyperlink ref="N218" r:id="rId218" display="audio/2026-09-17_46ec4547_Victor_Q14.wav"/>
    <hyperlink ref="N219" r:id="rId219" display="audio/2026-09-17_46ec4547_Victor_Q15.wav"/>
    <hyperlink ref="N220" r:id="rId220" display="audio/2026-09-17_46ec4547_Victor_Q16.wav"/>
    <hyperlink ref="N221" r:id="rId221" display="audio/2026-09-17_46ec4547_Victor_Q17.wav"/>
    <hyperlink ref="N222" r:id="rId222" display="audio/2026-09-21_4f629181_Susan_Q08.wav"/>
    <hyperlink ref="N223" r:id="rId223" display="audio/2026-09-21_4f629181_Susan_Q09.wav"/>
    <hyperlink ref="N224" r:id="rId224" display="audio/2026-09-21_4f629181_Susan_Q10.wav"/>
    <hyperlink ref="N225" r:id="rId225" display="audio/2026-09-21_4f629181_Susan_Q11.wav"/>
    <hyperlink ref="N226" r:id="rId226" display="audio/2026-09-21_4f629181_Susan_Q12.wav"/>
    <hyperlink ref="N227" r:id="rId227" display="audio/2026-09-21_4f629181_Susan_Q13.wav"/>
    <hyperlink ref="N228" r:id="rId228" display="audio/2026-09-21_4f629181_Susan_Q14.wav"/>
    <hyperlink ref="N229" r:id="rId229" display="audio/2026-09-21_4f629181_Susan_Q15.wav"/>
    <hyperlink ref="N230" r:id="rId230" display="audio/2026-09-21_4f629181_Susan_Q16.wav"/>
    <hyperlink ref="N231" r:id="rId231" display="audio/2026-09-21_4f629181_Susan_Q17.wav"/>
    <hyperlink ref="N232" r:id="rId232" display="audio/2026-09-21_7db59ab6_Ednah_Q08.wav"/>
    <hyperlink ref="N233" r:id="rId233" display="audio/2026-09-21_7db59ab6_Ednah_Q09.wav"/>
    <hyperlink ref="N234" r:id="rId234" display="audio/2026-09-21_7db59ab6_Ednah_Q10.wav"/>
    <hyperlink ref="N235" r:id="rId235" display="audio/2026-09-21_7db59ab6_Ednah_Q11.wav"/>
    <hyperlink ref="N236" r:id="rId236" display="audio/2026-09-21_7db59ab6_Ednah_Q12.wav"/>
    <hyperlink ref="N237" r:id="rId237" display="audio/2026-09-21_7db59ab6_Ednah_Q13.wav"/>
    <hyperlink ref="N238" r:id="rId238" display="audio/2026-09-21_7db59ab6_Ednah_Q14.wav"/>
    <hyperlink ref="N239" r:id="rId239" display="audio/2026-09-21_7db59ab6_Ednah_Q15.wav"/>
    <hyperlink ref="N240" r:id="rId240" display="audio/2026-09-21_7db59ab6_Ednah_Q16.wav"/>
    <hyperlink ref="N241" r:id="rId241" display="audio/2026-09-21_7db59ab6_Ednah_Q17.wav"/>
    <hyperlink ref="N242" r:id="rId242" display="audio/2026-09-17_46ec4547_Victor_Q08.wav"/>
    <hyperlink ref="N243" r:id="rId243" display="audio/2026-09-17_46ec4547_Victor_Q09.wav"/>
    <hyperlink ref="N244" r:id="rId244" display="audio/2026-09-17_46ec4547_Victor_Q10.wav"/>
    <hyperlink ref="N245" r:id="rId245" display="audio/2026-09-17_46ec4547_Victor_Q11.wav"/>
    <hyperlink ref="N246" r:id="rId246" display="audio/2026-09-17_46ec4547_Victor_Q12.wav"/>
    <hyperlink ref="N247" r:id="rId247" display="audio/2026-09-17_46ec4547_Victor_Q13.wav"/>
    <hyperlink ref="N248" r:id="rId248" display="audio/2026-09-17_46ec4547_Victor_Q14.wav"/>
    <hyperlink ref="N249" r:id="rId249" display="audio/2026-09-17_46ec4547_Victor_Q15.wav"/>
    <hyperlink ref="N250" r:id="rId250" display="audio/2026-09-17_46ec4547_Victor_Q16.wav"/>
    <hyperlink ref="N251" r:id="rId251" display="audio/2026-09-17_46ec4547_Victor_Q17.wav"/>
    <hyperlink ref="N252" r:id="rId252" display="audio/2026-09-21_4f629181_Susan_Q08.wav"/>
    <hyperlink ref="N253" r:id="rId253" display="audio/2026-09-21_4f629181_Susan_Q09.wav"/>
    <hyperlink ref="N254" r:id="rId254" display="audio/2026-09-21_4f629181_Susan_Q10.wav"/>
    <hyperlink ref="N255" r:id="rId255" display="audio/2026-09-21_4f629181_Susan_Q11.wav"/>
    <hyperlink ref="N256" r:id="rId256" display="audio/2026-09-21_4f629181_Susan_Q12.wav"/>
    <hyperlink ref="N257" r:id="rId257" display="audio/2026-09-21_4f629181_Susan_Q13.wav"/>
    <hyperlink ref="N258" r:id="rId258" display="audio/2026-09-21_4f629181_Susan_Q14.wav"/>
    <hyperlink ref="N259" r:id="rId259" display="audio/2026-09-21_4f629181_Susan_Q15.wav"/>
    <hyperlink ref="N260" r:id="rId260" display="audio/2026-09-21_4f629181_Susan_Q16.wav"/>
    <hyperlink ref="N261" r:id="rId261" display="audio/2026-09-21_4f629181_Susan_Q17.wav"/>
    <hyperlink ref="N262" r:id="rId262" display="audio/2026-09-21_7db59ab6_Ednah_Q08.wav"/>
    <hyperlink ref="N263" r:id="rId263" display="audio/2026-09-21_7db59ab6_Ednah_Q09.wav"/>
    <hyperlink ref="N264" r:id="rId264" display="audio/2026-09-21_7db59ab6_Ednah_Q10.wav"/>
    <hyperlink ref="N265" r:id="rId265" display="audio/2026-09-21_7db59ab6_Ednah_Q11.wav"/>
    <hyperlink ref="N266" r:id="rId266" display="audio/2026-09-21_7db59ab6_Ednah_Q12.wav"/>
    <hyperlink ref="N267" r:id="rId267" display="audio/2026-09-21_7db59ab6_Ednah_Q13.wav"/>
    <hyperlink ref="N268" r:id="rId268" display="audio/2026-09-21_7db59ab6_Ednah_Q14.wav"/>
    <hyperlink ref="N269" r:id="rId269" display="audio/2026-09-21_7db59ab6_Ednah_Q15.wav"/>
    <hyperlink ref="N270" r:id="rId270" display="audio/2026-09-21_7db59ab6_Ednah_Q16.wav"/>
    <hyperlink ref="N271" r:id="rId271" display="audio/2026-09-21_7db59ab6_Ednah_Q17.wav"/>
    <hyperlink ref="N272" r:id="rId272" display="audio/2026-09-17_46ec4547_Victor_Q08.wav"/>
    <hyperlink ref="N273" r:id="rId273" display="audio/2026-09-17_46ec4547_Victor_Q09.wav"/>
    <hyperlink ref="N274" r:id="rId274" display="audio/2026-09-17_46ec4547_Victor_Q10.wav"/>
    <hyperlink ref="N275" r:id="rId275" display="audio/2026-09-17_46ec4547_Victor_Q11.wav"/>
    <hyperlink ref="N276" r:id="rId276" display="audio/2026-09-17_46ec4547_Victor_Q12.wav"/>
    <hyperlink ref="N277" r:id="rId277" display="audio/2026-09-17_46ec4547_Victor_Q13.wav"/>
    <hyperlink ref="N278" r:id="rId278" display="audio/2026-09-17_46ec4547_Victor_Q14.wav"/>
    <hyperlink ref="N279" r:id="rId279" display="audio/2026-09-17_46ec4547_Victor_Q15.wav"/>
    <hyperlink ref="N280" r:id="rId280" display="audio/2026-09-17_46ec4547_Victor_Q16.wav"/>
    <hyperlink ref="N281" r:id="rId281" display="audio/2026-09-17_46ec4547_Victor_Q17.wav"/>
    <hyperlink ref="N282" r:id="rId282" display="audio/2026-09-21_4f629181_Susan_Q08.wav"/>
    <hyperlink ref="N283" r:id="rId283" display="audio/2026-09-21_4f629181_Susan_Q09.wav"/>
    <hyperlink ref="N284" r:id="rId284" display="audio/2026-09-21_4f629181_Susan_Q10.wav"/>
    <hyperlink ref="N285" r:id="rId285" display="audio/2026-09-21_4f629181_Susan_Q11.wav"/>
    <hyperlink ref="N286" r:id="rId286" display="audio/2026-09-21_4f629181_Susan_Q12.wav"/>
    <hyperlink ref="N287" r:id="rId287" display="audio/2026-09-21_4f629181_Susan_Q13.wav"/>
    <hyperlink ref="N288" r:id="rId288" display="audio/2026-09-21_4f629181_Susan_Q14.wav"/>
    <hyperlink ref="N289" r:id="rId289" display="audio/2026-09-21_4f629181_Susan_Q15.wav"/>
    <hyperlink ref="N290" r:id="rId290" display="audio/2026-09-21_4f629181_Susan_Q16.wav"/>
    <hyperlink ref="N291" r:id="rId291" display="audio/2026-09-21_4f629181_Susan_Q17.wav"/>
    <hyperlink ref="N292" r:id="rId292" display="audio/2026-09-21_7db59ab6_Ednah_Q08.wav"/>
    <hyperlink ref="N293" r:id="rId293" display="audio/2026-09-21_7db59ab6_Ednah_Q09.wav"/>
    <hyperlink ref="N294" r:id="rId294" display="audio/2026-09-21_7db59ab6_Ednah_Q10.wav"/>
    <hyperlink ref="N295" r:id="rId295" display="audio/2026-09-21_7db59ab6_Ednah_Q11.wav"/>
    <hyperlink ref="N296" r:id="rId296" display="audio/2026-09-21_7db59ab6_Ednah_Q12.wav"/>
    <hyperlink ref="N297" r:id="rId297" display="audio/2026-09-21_7db59ab6_Ednah_Q13.wav"/>
    <hyperlink ref="N298" r:id="rId298" display="audio/2026-09-21_7db59ab6_Ednah_Q14.wav"/>
    <hyperlink ref="N299" r:id="rId299" display="audio/2026-09-21_7db59ab6_Ednah_Q15.wav"/>
    <hyperlink ref="N300" r:id="rId300" display="audio/2026-09-21_7db59ab6_Ednah_Q16.wav"/>
    <hyperlink ref="N301" r:id="rId301" display="audio/2026-09-21_7db59ab6_Ednah_Q17.wav"/>
    <hyperlink ref="N302" r:id="rId302" display="audio/2026-09-17_46ec4547_Victor_Q08.wav"/>
    <hyperlink ref="N303" r:id="rId303" display="audio/2026-09-17_46ec4547_Victor_Q09.wav"/>
    <hyperlink ref="N304" r:id="rId304" display="audio/2026-09-17_46ec4547_Victor_Q10.wav"/>
    <hyperlink ref="N305" r:id="rId305" display="audio/2026-09-17_46ec4547_Victor_Q11.wav"/>
    <hyperlink ref="N306" r:id="rId306" display="audio/2026-09-17_46ec4547_Victor_Q12.wav"/>
    <hyperlink ref="N307" r:id="rId307" display="audio/2026-09-17_46ec4547_Victor_Q13.wav"/>
    <hyperlink ref="N308" r:id="rId308" display="audio/2026-09-17_46ec4547_Victor_Q14.wav"/>
    <hyperlink ref="N309" r:id="rId309" display="audio/2026-09-17_46ec4547_Victor_Q15.wav"/>
    <hyperlink ref="N310" r:id="rId310" display="audio/2026-09-17_46ec4547_Victor_Q16.wav"/>
    <hyperlink ref="N311" r:id="rId311" display="audio/2026-09-17_46ec4547_Victor_Q17.wav"/>
    <hyperlink ref="N312" r:id="rId312" display="audio/2026-09-21_4f629181_Susan_Q08.wav"/>
    <hyperlink ref="N313" r:id="rId313" display="audio/2026-09-21_4f629181_Susan_Q09.wav"/>
    <hyperlink ref="N314" r:id="rId314" display="audio/2026-09-21_4f629181_Susan_Q10.wav"/>
    <hyperlink ref="N315" r:id="rId315" display="audio/2026-09-21_4f629181_Susan_Q11.wav"/>
    <hyperlink ref="N316" r:id="rId316" display="audio/2026-09-21_4f629181_Susan_Q12.wav"/>
    <hyperlink ref="N317" r:id="rId317" display="audio/2026-09-21_4f629181_Susan_Q13.wav"/>
    <hyperlink ref="N318" r:id="rId318" display="audio/2026-09-21_4f629181_Susan_Q14.wav"/>
    <hyperlink ref="N319" r:id="rId319" display="audio/2026-09-21_4f629181_Susan_Q15.wav"/>
    <hyperlink ref="N320" r:id="rId320" display="audio/2026-09-21_4f629181_Susan_Q16.wav"/>
    <hyperlink ref="N321" r:id="rId321" display="audio/2026-09-21_4f629181_Susan_Q17.wav"/>
    <hyperlink ref="N322" r:id="rId322" display="audio/2026-09-21_7db59ab6_Ednah_Q08.wav"/>
    <hyperlink ref="N323" r:id="rId323" display="audio/2026-09-21_7db59ab6_Ednah_Q09.wav"/>
    <hyperlink ref="N324" r:id="rId324" display="audio/2026-09-21_7db59ab6_Ednah_Q10.wav"/>
    <hyperlink ref="N325" r:id="rId325" display="audio/2026-09-21_7db59ab6_Ednah_Q11.wav"/>
    <hyperlink ref="N326" r:id="rId326" display="audio/2026-09-21_7db59ab6_Ednah_Q12.wav"/>
    <hyperlink ref="N327" r:id="rId327" display="audio/2026-09-21_7db59ab6_Ednah_Q13.wav"/>
    <hyperlink ref="N328" r:id="rId328" display="audio/2026-09-21_7db59ab6_Ednah_Q14.wav"/>
    <hyperlink ref="N329" r:id="rId329" display="audio/2026-09-21_7db59ab6_Ednah_Q15.wav"/>
    <hyperlink ref="N330" r:id="rId330" display="audio/2026-09-21_7db59ab6_Ednah_Q16.wav"/>
    <hyperlink ref="N331" r:id="rId331" display="audio/2026-09-21_7db59ab6_Ednah_Q17.wav"/>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332"/>
  <legacyDrawing r:id="rId333"/>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2026-10-06T18:50:49Z</dcterms:created>
  <dc:creator>openpyxl</dc:creator>
  <dc:description/>
  <dc:language>en-US</dc:language>
  <cp:lastModifiedBy/>
  <dcterms:modified xsi:type="dcterms:W3CDTF">2026-10-06T18:50:50Z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